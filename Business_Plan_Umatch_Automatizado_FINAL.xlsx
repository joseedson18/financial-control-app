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apeamento" sheetId="3" state="visible" r:id="rId3"/>
    <sheet xmlns:r="http://schemas.openxmlformats.org/officeDocument/2006/relationships" name="Extrato_Importado" sheetId="4" state="visible" r:id="rId4"/>
    <sheet xmlns:r="http://schemas.openxmlformats.org/officeDocument/2006/relationships" name="DRE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Glossário" sheetId="7" state="visible" r:id="rId7"/>
    <sheet xmlns:r="http://schemas.openxmlformats.org/officeDocument/2006/relationships" name="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R$ #,##0.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sz val="12"/>
    </font>
    <font>
      <sz val="14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3" fontId="0" fillId="0" borderId="1" pivotButton="0" quotePrefix="0" xfId="0"/>
    <xf numFmtId="0" fontId="3" fillId="4" borderId="1" pivotButton="0" quotePrefix="0" xfId="0"/>
    <xf numFmtId="165" fontId="0" fillId="0" borderId="1" pivotButton="0" quotePrefix="0" xfId="0"/>
    <xf numFmtId="0" fontId="4" fillId="5" borderId="1" pivotButton="0" quotePrefix="0" xfId="0"/>
    <xf numFmtId="165" fontId="0" fillId="3" borderId="1" pivotButton="0" quotePrefix="0" xfId="0"/>
    <xf numFmtId="10" fontId="0" fillId="0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5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8" borderId="1" pivotButton="0" quotePrefix="0" xfId="0"/>
    <xf numFmtId="0" fontId="4" fillId="7" borderId="0" pivotButton="0" quotePrefix="0" xfId="0"/>
    <xf numFmtId="0" fontId="5" fillId="0" borderId="0" pivotButton="0" quotePrefix="0" xfId="0"/>
    <xf numFmtId="165" fontId="6" fillId="8" borderId="0" pivotButton="0" quotePrefix="0" xfId="0"/>
    <xf numFmtId="10" fontId="6" fillId="8" borderId="0" pivotButton="0" quotePrefix="0" xfId="0"/>
    <xf numFmtId="3" fontId="6" fillId="8" borderId="0" pivotButton="0" quotePrefix="0" xfId="0"/>
    <xf numFmtId="0" fontId="2" fillId="2" borderId="0" applyAlignment="1" pivotButton="0" quotePrefix="0" xfId="0">
      <alignment horizontal="center"/>
    </xf>
    <xf numFmtId="0" fontId="5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BUSINESS PLAN UMATCH - P&amp;L (REGIME DE COMPETÊNCIA)</t>
        </is>
      </c>
    </row>
    <row r="3">
      <c r="A3" s="2" t="inlineStr">
        <is>
          <t>Categoria</t>
        </is>
      </c>
      <c r="B3" s="2" t="inlineStr">
        <is>
          <t>Unidade</t>
        </is>
      </c>
      <c r="C3" s="5" t="inlineStr">
        <is>
          <t>05/2024</t>
        </is>
      </c>
      <c r="D3" s="5" t="inlineStr">
        <is>
          <t>06/2024</t>
        </is>
      </c>
      <c r="E3" s="5" t="inlineStr">
        <is>
          <t>07/2024</t>
        </is>
      </c>
      <c r="F3" s="5" t="inlineStr">
        <is>
          <t>08/2024</t>
        </is>
      </c>
      <c r="G3" s="5" t="inlineStr">
        <is>
          <t>09/2024</t>
        </is>
      </c>
      <c r="H3" s="5" t="inlineStr">
        <is>
          <t>10/2024</t>
        </is>
      </c>
      <c r="I3" s="5" t="inlineStr">
        <is>
          <t>11/2024</t>
        </is>
      </c>
      <c r="J3" s="5" t="inlineStr">
        <is>
          <t>12/2024</t>
        </is>
      </c>
      <c r="K3" s="5" t="inlineStr">
        <is>
          <t>01/2025</t>
        </is>
      </c>
      <c r="L3" s="5" t="inlineStr">
        <is>
          <t>02/2025</t>
        </is>
      </c>
      <c r="M3" s="5" t="inlineStr">
        <is>
          <t>03/2025</t>
        </is>
      </c>
      <c r="N3" s="5" t="inlineStr">
        <is>
          <t>04/2025</t>
        </is>
      </c>
      <c r="O3" s="5" t="inlineStr">
        <is>
          <t>05/2025</t>
        </is>
      </c>
      <c r="P3" s="5" t="inlineStr">
        <is>
          <t>06/2025</t>
        </is>
      </c>
      <c r="Q3" s="5" t="inlineStr">
        <is>
          <t>07/2025</t>
        </is>
      </c>
      <c r="R3" s="5" t="inlineStr">
        <is>
          <t>08/2025</t>
        </is>
      </c>
      <c r="S3" s="5" t="inlineStr">
        <is>
          <t>09/2025</t>
        </is>
      </c>
      <c r="T3" s="5" t="inlineStr">
        <is>
          <t>10/2025</t>
        </is>
      </c>
    </row>
    <row r="5">
      <c r="A5" s="3" t="inlineStr">
        <is>
          <t>NAU</t>
        </is>
      </c>
      <c r="B5" s="3" t="inlineStr">
        <is>
          <t>Users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A6" s="8" t="inlineStr">
        <is>
          <t xml:space="preserve">    Brazil</t>
        </is>
      </c>
      <c r="B6" s="3" t="inlineStr">
        <is>
          <t>Users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3" t="inlineStr">
        <is>
          <t xml:space="preserve">        EaM</t>
        </is>
      </c>
      <c r="B7" s="3" t="inlineStr">
        <is>
          <t>Users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3" t="inlineStr">
        <is>
          <t xml:space="preserve">        Affiliates &amp; Events</t>
        </is>
      </c>
      <c r="B8" s="3" t="inlineStr">
        <is>
          <t>Users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3" t="inlineStr">
        <is>
          <t xml:space="preserve">        Ads</t>
        </is>
      </c>
      <c r="B9" s="3" t="inlineStr">
        <is>
          <t>Users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3" t="inlineStr">
        <is>
          <t xml:space="preserve">        Organic</t>
        </is>
      </c>
      <c r="B10" s="3" t="inlineStr">
        <is>
          <t>Users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8" t="inlineStr">
        <is>
          <t xml:space="preserve">    USA</t>
        </is>
      </c>
      <c r="B11" s="3" t="inlineStr">
        <is>
          <t>Users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3" t="inlineStr">
        <is>
          <t xml:space="preserve">        EaM</t>
        </is>
      </c>
      <c r="B12" s="3" t="inlineStr">
        <is>
          <t>Users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3" t="inlineStr">
        <is>
          <t xml:space="preserve">        Ads</t>
        </is>
      </c>
      <c r="B13" s="3" t="inlineStr">
        <is>
          <t>Users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3" t="inlineStr">
        <is>
          <t xml:space="preserve">        Organic</t>
        </is>
      </c>
      <c r="B14" s="3" t="inlineStr">
        <is>
          <t>Users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6">
      <c r="A16" s="3" t="inlineStr">
        <is>
          <t>CPA</t>
        </is>
      </c>
      <c r="B16" s="3" t="inlineStr">
        <is>
          <t>BRL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8" t="inlineStr">
        <is>
          <t xml:space="preserve">    Brazil</t>
        </is>
      </c>
      <c r="B17" s="3" t="inlineStr">
        <is>
          <t>BRL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3" t="inlineStr">
        <is>
          <t xml:space="preserve">        EaM</t>
        </is>
      </c>
      <c r="B18" s="3" t="inlineStr">
        <is>
          <t>BRL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3" t="inlineStr">
        <is>
          <t xml:space="preserve">        Ads</t>
        </is>
      </c>
      <c r="B19" s="3" t="inlineStr">
        <is>
          <t>BRL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8" t="inlineStr">
        <is>
          <t xml:space="preserve">    USA</t>
        </is>
      </c>
      <c r="B20" s="3" t="inlineStr">
        <is>
          <t>BRL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3" t="inlineStr">
        <is>
          <t xml:space="preserve">        EaM</t>
        </is>
      </c>
      <c r="B21" s="3" t="inlineStr">
        <is>
          <t>BRL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3" t="inlineStr">
        <is>
          <t xml:space="preserve">        Ads</t>
        </is>
      </c>
      <c r="B22" s="3" t="inlineStr">
        <is>
          <t>BRL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4">
      <c r="A24" s="10" t="inlineStr">
        <is>
          <t>Revenue</t>
        </is>
      </c>
      <c r="B24" s="3" t="inlineStr">
        <is>
          <t>BRL</t>
        </is>
      </c>
      <c r="C24" s="9">
        <f>C25+C42</f>
        <v/>
      </c>
      <c r="D24" s="9">
        <f>D25+D42</f>
        <v/>
      </c>
      <c r="E24" s="9">
        <f>E25+E42</f>
        <v/>
      </c>
      <c r="F24" s="9">
        <f>F25+F42</f>
        <v/>
      </c>
      <c r="G24" s="9">
        <f>G25+G42</f>
        <v/>
      </c>
      <c r="H24" s="9">
        <f>H25+H42</f>
        <v/>
      </c>
      <c r="I24" s="9">
        <f>I25+I42</f>
        <v/>
      </c>
      <c r="J24" s="9">
        <f>J25+J42</f>
        <v/>
      </c>
      <c r="K24" s="9">
        <f>K25+K42</f>
        <v/>
      </c>
      <c r="L24" s="9">
        <f>L25+L42</f>
        <v/>
      </c>
      <c r="M24" s="9">
        <f>M25+M42</f>
        <v/>
      </c>
      <c r="N24" s="9">
        <f>N25+N42</f>
        <v/>
      </c>
      <c r="O24" s="9">
        <f>O25+O42</f>
        <v/>
      </c>
      <c r="P24" s="9">
        <f>P25+P42</f>
        <v/>
      </c>
      <c r="Q24" s="9">
        <f>Q25+Q42</f>
        <v/>
      </c>
      <c r="R24" s="9">
        <f>R25+R42</f>
        <v/>
      </c>
      <c r="S24" s="9">
        <f>S25+S42</f>
        <v/>
      </c>
      <c r="T24" s="9">
        <f>T25+T42</f>
        <v/>
      </c>
    </row>
    <row r="25">
      <c r="A25" s="10" t="inlineStr">
        <is>
          <t>Revenue no Tax (total das receitas recebidas em conta)</t>
        </is>
      </c>
      <c r="B25" s="3" t="inlineStr">
        <is>
          <t>BRL</t>
        </is>
      </c>
      <c r="C25" s="9">
        <f>C29+C37</f>
        <v/>
      </c>
      <c r="D25" s="9">
        <f>D29+D37</f>
        <v/>
      </c>
      <c r="E25" s="9">
        <f>E29+E37</f>
        <v/>
      </c>
      <c r="F25" s="9">
        <f>F29+F37</f>
        <v/>
      </c>
      <c r="G25" s="9">
        <f>G29+G37</f>
        <v/>
      </c>
      <c r="H25" s="9">
        <f>H29+H37</f>
        <v/>
      </c>
      <c r="I25" s="9">
        <f>I29+I37</f>
        <v/>
      </c>
      <c r="J25" s="9">
        <f>J29+J37</f>
        <v/>
      </c>
      <c r="K25" s="9">
        <f>K29+K37</f>
        <v/>
      </c>
      <c r="L25" s="9">
        <f>L29+L37</f>
        <v/>
      </c>
      <c r="M25" s="9">
        <f>M29+M37</f>
        <v/>
      </c>
      <c r="N25" s="9">
        <f>N29+N37</f>
        <v/>
      </c>
      <c r="O25" s="9">
        <f>O29+O37</f>
        <v/>
      </c>
      <c r="P25" s="9">
        <f>P29+P37</f>
        <v/>
      </c>
      <c r="Q25" s="9">
        <f>Q29+Q37</f>
        <v/>
      </c>
      <c r="R25" s="9">
        <f>R29+R37</f>
        <v/>
      </c>
      <c r="S25" s="9">
        <f>S29+S37</f>
        <v/>
      </c>
      <c r="T25" s="9">
        <f>T29+T37</f>
        <v/>
      </c>
    </row>
    <row r="26">
      <c r="A26" s="8" t="inlineStr">
        <is>
          <t xml:space="preserve">     Google (IAPHUB)</t>
        </is>
      </c>
      <c r="B26" s="3" t="inlineStr">
        <is>
          <t>BRL</t>
        </is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</row>
    <row r="27">
      <c r="A27" s="8" t="inlineStr">
        <is>
          <t xml:space="preserve">     Google (IAPHUB) x 0.85</t>
        </is>
      </c>
      <c r="B27" s="3" t="inlineStr">
        <is>
          <t>BRL</t>
        </is>
      </c>
      <c r="C27" s="9">
        <f>C26*0.85</f>
        <v/>
      </c>
      <c r="D27" s="9">
        <f>D26*0.85</f>
        <v/>
      </c>
      <c r="E27" s="9">
        <f>E26*0.85</f>
        <v/>
      </c>
      <c r="F27" s="9">
        <f>F26*0.85</f>
        <v/>
      </c>
      <c r="G27" s="9">
        <f>G26*0.85</f>
        <v/>
      </c>
      <c r="H27" s="9">
        <f>H26*0.85</f>
        <v/>
      </c>
      <c r="I27" s="9">
        <f>I26*0.85</f>
        <v/>
      </c>
      <c r="J27" s="9">
        <f>J26*0.85</f>
        <v/>
      </c>
      <c r="K27" s="9">
        <f>K26*0.85</f>
        <v/>
      </c>
      <c r="L27" s="9">
        <f>L26*0.85</f>
        <v/>
      </c>
      <c r="M27" s="9">
        <f>M26*0.85</f>
        <v/>
      </c>
      <c r="N27" s="9">
        <f>N26*0.85</f>
        <v/>
      </c>
      <c r="O27" s="9">
        <f>O26*0.85</f>
        <v/>
      </c>
      <c r="P27" s="9">
        <f>P26*0.85</f>
        <v/>
      </c>
      <c r="Q27" s="9">
        <f>Q26*0.85</f>
        <v/>
      </c>
      <c r="R27" s="9">
        <f>R26*0.85</f>
        <v/>
      </c>
      <c r="S27" s="9">
        <f>S26*0.85</f>
        <v/>
      </c>
      <c r="T27" s="9">
        <f>T26*0.85</f>
        <v/>
      </c>
    </row>
    <row r="28">
      <c r="A28" s="3" t="inlineStr">
        <is>
          <t xml:space="preserve">          Δ(%)</t>
        </is>
      </c>
      <c r="B28" s="3" t="inlineStr">
        <is>
          <t>%</t>
        </is>
      </c>
      <c r="C28" s="12" t="n">
        <v>0</v>
      </c>
      <c r="D28" s="12">
        <f>IFERROR((D27-C27)/C27,0)</f>
        <v/>
      </c>
      <c r="E28" s="12">
        <f>IFERROR((E27-D27)/D27,0)</f>
        <v/>
      </c>
      <c r="F28" s="12">
        <f>IFERROR((F27-E27)/E27,0)</f>
        <v/>
      </c>
      <c r="G28" s="12">
        <f>IFERROR((G27-F27)/F27,0)</f>
        <v/>
      </c>
      <c r="H28" s="12">
        <f>IFERROR((H27-G27)/G27,0)</f>
        <v/>
      </c>
      <c r="I28" s="12">
        <f>IFERROR((I27-H27)/H27,0)</f>
        <v/>
      </c>
      <c r="J28" s="12">
        <f>IFERROR((J27-I27)/I27,0)</f>
        <v/>
      </c>
      <c r="K28" s="12">
        <f>IFERROR((K27-J27)/J27,0)</f>
        <v/>
      </c>
      <c r="L28" s="12">
        <f>IFERROR((L27-K27)/K27,0)</f>
        <v/>
      </c>
      <c r="M28" s="12">
        <f>IFERROR((M27-L27)/L27,0)</f>
        <v/>
      </c>
      <c r="N28" s="12">
        <f>IFERROR((N27-M27)/M27,0)</f>
        <v/>
      </c>
      <c r="O28" s="12">
        <f>IFERROR((O27-N27)/N27,0)</f>
        <v/>
      </c>
      <c r="P28" s="12">
        <f>IFERROR((P27-O27)/O27,0)</f>
        <v/>
      </c>
      <c r="Q28" s="12">
        <f>IFERROR((Q27-P27)/P27,0)</f>
        <v/>
      </c>
      <c r="R28" s="12">
        <f>IFERROR((R27-Q27)/Q27,0)</f>
        <v/>
      </c>
      <c r="S28" s="12">
        <f>IFERROR((S27-R27)/R27,0)</f>
        <v/>
      </c>
      <c r="T28" s="12">
        <f>IFERROR((T27-S27)/S27,0)</f>
        <v/>
      </c>
    </row>
    <row r="29">
      <c r="A29" s="8" t="inlineStr">
        <is>
          <t xml:space="preserve">     Google</t>
        </is>
      </c>
      <c r="B29" s="3" t="inlineStr">
        <is>
          <t>BRL</t>
        </is>
      </c>
      <c r="C29" s="11">
        <f>SUMIFS(Extrato_Importado!$E:$E,Extrato_Importado!$H:$H,"2024-05",Extrato_Importado!$B:$B,"Google Play Net Revenue")</f>
        <v/>
      </c>
      <c r="D29" s="11">
        <f>SUMIFS(Extrato_Importado!$E:$E,Extrato_Importado!$H:$H,"2024-06",Extrato_Importado!$B:$B,"Google Play Net Revenue")</f>
        <v/>
      </c>
      <c r="E29" s="11">
        <f>SUMIFS(Extrato_Importado!$E:$E,Extrato_Importado!$H:$H,"2024-07",Extrato_Importado!$B:$B,"Google Play Net Revenue")</f>
        <v/>
      </c>
      <c r="F29" s="11">
        <f>SUMIFS(Extrato_Importado!$E:$E,Extrato_Importado!$H:$H,"2024-08",Extrato_Importado!$B:$B,"Google Play Net Revenue")</f>
        <v/>
      </c>
      <c r="G29" s="11">
        <f>SUMIFS(Extrato_Importado!$E:$E,Extrato_Importado!$H:$H,"2024-09",Extrato_Importado!$B:$B,"Google Play Net Revenue")</f>
        <v/>
      </c>
      <c r="H29" s="11">
        <f>SUMIFS(Extrato_Importado!$E:$E,Extrato_Importado!$H:$H,"2024-10",Extrato_Importado!$B:$B,"Google Play Net Revenue")</f>
        <v/>
      </c>
      <c r="I29" s="11">
        <f>SUMIFS(Extrato_Importado!$E:$E,Extrato_Importado!$H:$H,"2024-11",Extrato_Importado!$B:$B,"Google Play Net Revenue")</f>
        <v/>
      </c>
      <c r="J29" s="11">
        <f>SUMIFS(Extrato_Importado!$E:$E,Extrato_Importado!$H:$H,"2024-12",Extrato_Importado!$B:$B,"Google Play Net Revenue")</f>
        <v/>
      </c>
      <c r="K29" s="11">
        <f>SUMIFS(Extrato_Importado!$E:$E,Extrato_Importado!$H:$H,"2025-01",Extrato_Importado!$B:$B,"Google Play Net Revenue")</f>
        <v/>
      </c>
      <c r="L29" s="11">
        <f>SUMIFS(Extrato_Importado!$E:$E,Extrato_Importado!$H:$H,"2025-02",Extrato_Importado!$B:$B,"Google Play Net Revenue")</f>
        <v/>
      </c>
      <c r="M29" s="11">
        <f>SUMIFS(Extrato_Importado!$E:$E,Extrato_Importado!$H:$H,"2025-03",Extrato_Importado!$B:$B,"Google Play Net Revenue")</f>
        <v/>
      </c>
      <c r="N29" s="11">
        <f>SUMIFS(Extrato_Importado!$E:$E,Extrato_Importado!$H:$H,"2025-04",Extrato_Importado!$B:$B,"Google Play Net Revenue")</f>
        <v/>
      </c>
      <c r="O29" s="11">
        <f>SUMIFS(Extrato_Importado!$E:$E,Extrato_Importado!$H:$H,"2025-05",Extrato_Importado!$B:$B,"Google Play Net Revenue")</f>
        <v/>
      </c>
      <c r="P29" s="11">
        <f>SUMIFS(Extrato_Importado!$E:$E,Extrato_Importado!$H:$H,"2025-06",Extrato_Importado!$B:$B,"Google Play Net Revenue")</f>
        <v/>
      </c>
      <c r="Q29" s="11">
        <f>SUMIFS(Extrato_Importado!$E:$E,Extrato_Importado!$H:$H,"2025-07",Extrato_Importado!$B:$B,"Google Play Net Revenue")</f>
        <v/>
      </c>
      <c r="R29" s="11">
        <f>SUMIFS(Extrato_Importado!$E:$E,Extrato_Importado!$H:$H,"2025-08",Extrato_Importado!$B:$B,"Google Play Net Revenue")</f>
        <v/>
      </c>
      <c r="S29" s="11">
        <f>SUMIFS(Extrato_Importado!$E:$E,Extrato_Importado!$H:$H,"2025-09",Extrato_Importado!$B:$B,"Google Play Net Revenue")</f>
        <v/>
      </c>
      <c r="T29" s="11">
        <f>SUMIFS(Extrato_Importado!$E:$E,Extrato_Importado!$H:$H,"2025-10",Extrato_Importado!$B:$B,"Google Play Net Revenue")</f>
        <v/>
      </c>
    </row>
    <row r="30">
      <c r="A30" s="3" t="inlineStr">
        <is>
          <t xml:space="preserve">          Brazil</t>
        </is>
      </c>
      <c r="B30" s="3" t="inlineStr">
        <is>
          <t>BRL</t>
        </is>
      </c>
      <c r="C30" s="11">
        <f>SUMIFS(Extrato_Importado!$E:$E,Extrato_Importado!$H:$H,"2024-05",Extrato_Importado!$B:$B,"Google Play Net Revenue")</f>
        <v/>
      </c>
      <c r="D30" s="11">
        <f>SUMIFS(Extrato_Importado!$E:$E,Extrato_Importado!$H:$H,"2024-06",Extrato_Importado!$B:$B,"Google Play Net Revenue")</f>
        <v/>
      </c>
      <c r="E30" s="11">
        <f>SUMIFS(Extrato_Importado!$E:$E,Extrato_Importado!$H:$H,"2024-07",Extrato_Importado!$B:$B,"Google Play Net Revenue")</f>
        <v/>
      </c>
      <c r="F30" s="11">
        <f>SUMIFS(Extrato_Importado!$E:$E,Extrato_Importado!$H:$H,"2024-08",Extrato_Importado!$B:$B,"Google Play Net Revenue")</f>
        <v/>
      </c>
      <c r="G30" s="11">
        <f>SUMIFS(Extrato_Importado!$E:$E,Extrato_Importado!$H:$H,"2024-09",Extrato_Importado!$B:$B,"Google Play Net Revenue")</f>
        <v/>
      </c>
      <c r="H30" s="11">
        <f>SUMIFS(Extrato_Importado!$E:$E,Extrato_Importado!$H:$H,"2024-10",Extrato_Importado!$B:$B,"Google Play Net Revenue")</f>
        <v/>
      </c>
      <c r="I30" s="11">
        <f>SUMIFS(Extrato_Importado!$E:$E,Extrato_Importado!$H:$H,"2024-11",Extrato_Importado!$B:$B,"Google Play Net Revenue")</f>
        <v/>
      </c>
      <c r="J30" s="11">
        <f>SUMIFS(Extrato_Importado!$E:$E,Extrato_Importado!$H:$H,"2024-12",Extrato_Importado!$B:$B,"Google Play Net Revenue")</f>
        <v/>
      </c>
      <c r="K30" s="11">
        <f>SUMIFS(Extrato_Importado!$E:$E,Extrato_Importado!$H:$H,"2025-01",Extrato_Importado!$B:$B,"Google Play Net Revenue")</f>
        <v/>
      </c>
      <c r="L30" s="11">
        <f>SUMIFS(Extrato_Importado!$E:$E,Extrato_Importado!$H:$H,"2025-02",Extrato_Importado!$B:$B,"Google Play Net Revenue")</f>
        <v/>
      </c>
      <c r="M30" s="11">
        <f>SUMIFS(Extrato_Importado!$E:$E,Extrato_Importado!$H:$H,"2025-03",Extrato_Importado!$B:$B,"Google Play Net Revenue")</f>
        <v/>
      </c>
      <c r="N30" s="11">
        <f>SUMIFS(Extrato_Importado!$E:$E,Extrato_Importado!$H:$H,"2025-04",Extrato_Importado!$B:$B,"Google Play Net Revenue")</f>
        <v/>
      </c>
      <c r="O30" s="11">
        <f>SUMIFS(Extrato_Importado!$E:$E,Extrato_Importado!$H:$H,"2025-05",Extrato_Importado!$B:$B,"Google Play Net Revenue")</f>
        <v/>
      </c>
      <c r="P30" s="11">
        <f>SUMIFS(Extrato_Importado!$E:$E,Extrato_Importado!$H:$H,"2025-06",Extrato_Importado!$B:$B,"Google Play Net Revenue")</f>
        <v/>
      </c>
      <c r="Q30" s="11">
        <f>SUMIFS(Extrato_Importado!$E:$E,Extrato_Importado!$H:$H,"2025-07",Extrato_Importado!$B:$B,"Google Play Net Revenue")</f>
        <v/>
      </c>
      <c r="R30" s="11">
        <f>SUMIFS(Extrato_Importado!$E:$E,Extrato_Importado!$H:$H,"2025-08",Extrato_Importado!$B:$B,"Google Play Net Revenue")</f>
        <v/>
      </c>
      <c r="S30" s="11">
        <f>SUMIFS(Extrato_Importado!$E:$E,Extrato_Importado!$H:$H,"2025-09",Extrato_Importado!$B:$B,"Google Play Net Revenue")</f>
        <v/>
      </c>
      <c r="T30" s="11">
        <f>SUMIFS(Extrato_Importado!$E:$E,Extrato_Importado!$H:$H,"2025-10",Extrato_Importado!$B:$B,"Google Play Net Revenue")</f>
        <v/>
      </c>
    </row>
    <row r="31">
      <c r="A31" s="3" t="inlineStr">
        <is>
          <t xml:space="preserve">          Brazil Margin (%)</t>
        </is>
      </c>
      <c r="B31" s="3" t="inlineStr">
        <is>
          <t>%</t>
        </is>
      </c>
      <c r="C31" s="12">
        <f>IFERROR(C30/C29,0)</f>
        <v/>
      </c>
      <c r="D31" s="12">
        <f>IFERROR(D30/D29,0)</f>
        <v/>
      </c>
      <c r="E31" s="12">
        <f>IFERROR(E30/E29,0)</f>
        <v/>
      </c>
      <c r="F31" s="12">
        <f>IFERROR(F30/F29,0)</f>
        <v/>
      </c>
      <c r="G31" s="12">
        <f>IFERROR(G30/G29,0)</f>
        <v/>
      </c>
      <c r="H31" s="12">
        <f>IFERROR(H30/H29,0)</f>
        <v/>
      </c>
      <c r="I31" s="12">
        <f>IFERROR(I30/I29,0)</f>
        <v/>
      </c>
      <c r="J31" s="12">
        <f>IFERROR(J30/J29,0)</f>
        <v/>
      </c>
      <c r="K31" s="12">
        <f>IFERROR(K30/K29,0)</f>
        <v/>
      </c>
      <c r="L31" s="12">
        <f>IFERROR(L30/L29,0)</f>
        <v/>
      </c>
      <c r="M31" s="12">
        <f>IFERROR(M30/M29,0)</f>
        <v/>
      </c>
      <c r="N31" s="12">
        <f>IFERROR(N30/N29,0)</f>
        <v/>
      </c>
      <c r="O31" s="12">
        <f>IFERROR(O30/O29,0)</f>
        <v/>
      </c>
      <c r="P31" s="12">
        <f>IFERROR(P30/P29,0)</f>
        <v/>
      </c>
      <c r="Q31" s="12">
        <f>IFERROR(Q30/Q29,0)</f>
        <v/>
      </c>
      <c r="R31" s="12">
        <f>IFERROR(R30/R29,0)</f>
        <v/>
      </c>
      <c r="S31" s="12">
        <f>IFERROR(S30/S29,0)</f>
        <v/>
      </c>
      <c r="T31" s="12">
        <f>IFERROR(T30/T29,0)</f>
        <v/>
      </c>
    </row>
    <row r="32">
      <c r="A32" s="3" t="inlineStr">
        <is>
          <t xml:space="preserve">          USA</t>
        </is>
      </c>
      <c r="B32" s="3" t="inlineStr">
        <is>
          <t>BRL</t>
        </is>
      </c>
      <c r="C32" s="11">
        <f>SUMIFS(Extrato_Importado!$E:$E,Extrato_Importado!$H:$H,"2024-05",Extrato_Importado!$B:$B,"Google Play Net Revenue")</f>
        <v/>
      </c>
      <c r="D32" s="11">
        <f>SUMIFS(Extrato_Importado!$E:$E,Extrato_Importado!$H:$H,"2024-06",Extrato_Importado!$B:$B,"Google Play Net Revenue")</f>
        <v/>
      </c>
      <c r="E32" s="11">
        <f>SUMIFS(Extrato_Importado!$E:$E,Extrato_Importado!$H:$H,"2024-07",Extrato_Importado!$B:$B,"Google Play Net Revenue")</f>
        <v/>
      </c>
      <c r="F32" s="11">
        <f>SUMIFS(Extrato_Importado!$E:$E,Extrato_Importado!$H:$H,"2024-08",Extrato_Importado!$B:$B,"Google Play Net Revenue")</f>
        <v/>
      </c>
      <c r="G32" s="11">
        <f>SUMIFS(Extrato_Importado!$E:$E,Extrato_Importado!$H:$H,"2024-09",Extrato_Importado!$B:$B,"Google Play Net Revenue")</f>
        <v/>
      </c>
      <c r="H32" s="11">
        <f>SUMIFS(Extrato_Importado!$E:$E,Extrato_Importado!$H:$H,"2024-10",Extrato_Importado!$B:$B,"Google Play Net Revenue")</f>
        <v/>
      </c>
      <c r="I32" s="11">
        <f>SUMIFS(Extrato_Importado!$E:$E,Extrato_Importado!$H:$H,"2024-11",Extrato_Importado!$B:$B,"Google Play Net Revenue")</f>
        <v/>
      </c>
      <c r="J32" s="11">
        <f>SUMIFS(Extrato_Importado!$E:$E,Extrato_Importado!$H:$H,"2024-12",Extrato_Importado!$B:$B,"Google Play Net Revenue")</f>
        <v/>
      </c>
      <c r="K32" s="11">
        <f>SUMIFS(Extrato_Importado!$E:$E,Extrato_Importado!$H:$H,"2025-01",Extrato_Importado!$B:$B,"Google Play Net Revenue")</f>
        <v/>
      </c>
      <c r="L32" s="11">
        <f>SUMIFS(Extrato_Importado!$E:$E,Extrato_Importado!$H:$H,"2025-02",Extrato_Importado!$B:$B,"Google Play Net Revenue")</f>
        <v/>
      </c>
      <c r="M32" s="11">
        <f>SUMIFS(Extrato_Importado!$E:$E,Extrato_Importado!$H:$H,"2025-03",Extrato_Importado!$B:$B,"Google Play Net Revenue")</f>
        <v/>
      </c>
      <c r="N32" s="11">
        <f>SUMIFS(Extrato_Importado!$E:$E,Extrato_Importado!$H:$H,"2025-04",Extrato_Importado!$B:$B,"Google Play Net Revenue")</f>
        <v/>
      </c>
      <c r="O32" s="11">
        <f>SUMIFS(Extrato_Importado!$E:$E,Extrato_Importado!$H:$H,"2025-05",Extrato_Importado!$B:$B,"Google Play Net Revenue")</f>
        <v/>
      </c>
      <c r="P32" s="11">
        <f>SUMIFS(Extrato_Importado!$E:$E,Extrato_Importado!$H:$H,"2025-06",Extrato_Importado!$B:$B,"Google Play Net Revenue")</f>
        <v/>
      </c>
      <c r="Q32" s="11">
        <f>SUMIFS(Extrato_Importado!$E:$E,Extrato_Importado!$H:$H,"2025-07",Extrato_Importado!$B:$B,"Google Play Net Revenue")</f>
        <v/>
      </c>
      <c r="R32" s="11">
        <f>SUMIFS(Extrato_Importado!$E:$E,Extrato_Importado!$H:$H,"2025-08",Extrato_Importado!$B:$B,"Google Play Net Revenue")</f>
        <v/>
      </c>
      <c r="S32" s="11">
        <f>SUMIFS(Extrato_Importado!$E:$E,Extrato_Importado!$H:$H,"2025-09",Extrato_Importado!$B:$B,"Google Play Net Revenue")</f>
        <v/>
      </c>
      <c r="T32" s="11">
        <f>SUMIFS(Extrato_Importado!$E:$E,Extrato_Importado!$H:$H,"2025-10",Extrato_Importado!$B:$B,"Google Play Net Revenue")</f>
        <v/>
      </c>
    </row>
    <row r="33">
      <c r="A33" s="3" t="inlineStr">
        <is>
          <t xml:space="preserve">          USA Margin (%)</t>
        </is>
      </c>
      <c r="B33" s="3" t="inlineStr">
        <is>
          <t>%</t>
        </is>
      </c>
      <c r="C33" s="12">
        <f>IFERROR(C32/C29,0)</f>
        <v/>
      </c>
      <c r="D33" s="12">
        <f>IFERROR(D32/D29,0)</f>
        <v/>
      </c>
      <c r="E33" s="12">
        <f>IFERROR(E32/E29,0)</f>
        <v/>
      </c>
      <c r="F33" s="12">
        <f>IFERROR(F32/F29,0)</f>
        <v/>
      </c>
      <c r="G33" s="12">
        <f>IFERROR(G32/G29,0)</f>
        <v/>
      </c>
      <c r="H33" s="12">
        <f>IFERROR(H32/H29,0)</f>
        <v/>
      </c>
      <c r="I33" s="12">
        <f>IFERROR(I32/I29,0)</f>
        <v/>
      </c>
      <c r="J33" s="12">
        <f>IFERROR(J32/J29,0)</f>
        <v/>
      </c>
      <c r="K33" s="12">
        <f>IFERROR(K32/K29,0)</f>
        <v/>
      </c>
      <c r="L33" s="12">
        <f>IFERROR(L32/L29,0)</f>
        <v/>
      </c>
      <c r="M33" s="12">
        <f>IFERROR(M32/M29,0)</f>
        <v/>
      </c>
      <c r="N33" s="12">
        <f>IFERROR(N32/N29,0)</f>
        <v/>
      </c>
      <c r="O33" s="12">
        <f>IFERROR(O32/O29,0)</f>
        <v/>
      </c>
      <c r="P33" s="12">
        <f>IFERROR(P32/P29,0)</f>
        <v/>
      </c>
      <c r="Q33" s="12">
        <f>IFERROR(Q32/Q29,0)</f>
        <v/>
      </c>
      <c r="R33" s="12">
        <f>IFERROR(R32/R29,0)</f>
        <v/>
      </c>
      <c r="S33" s="12">
        <f>IFERROR(S32/S29,0)</f>
        <v/>
      </c>
      <c r="T33" s="12">
        <f>IFERROR(T32/T29,0)</f>
        <v/>
      </c>
    </row>
    <row r="34">
      <c r="A34" s="8" t="inlineStr">
        <is>
          <t xml:space="preserve">     Apple (IAPHUB)</t>
        </is>
      </c>
      <c r="B34" s="3" t="inlineStr">
        <is>
          <t>BRL</t>
        </is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</row>
    <row r="35">
      <c r="A35" s="8" t="inlineStr">
        <is>
          <t xml:space="preserve">     Apple (IAPHUB) x 0.85</t>
        </is>
      </c>
      <c r="B35" s="3" t="inlineStr">
        <is>
          <t>BRL</t>
        </is>
      </c>
      <c r="C35" s="9">
        <f>C34*0.85</f>
        <v/>
      </c>
      <c r="D35" s="9">
        <f>D34*0.85</f>
        <v/>
      </c>
      <c r="E35" s="9">
        <f>E34*0.85</f>
        <v/>
      </c>
      <c r="F35" s="9">
        <f>F34*0.85</f>
        <v/>
      </c>
      <c r="G35" s="9">
        <f>G34*0.85</f>
        <v/>
      </c>
      <c r="H35" s="9">
        <f>H34*0.85</f>
        <v/>
      </c>
      <c r="I35" s="9">
        <f>I34*0.85</f>
        <v/>
      </c>
      <c r="J35" s="9">
        <f>J34*0.85</f>
        <v/>
      </c>
      <c r="K35" s="9">
        <f>K34*0.85</f>
        <v/>
      </c>
      <c r="L35" s="9">
        <f>L34*0.85</f>
        <v/>
      </c>
      <c r="M35" s="9">
        <f>M34*0.85</f>
        <v/>
      </c>
      <c r="N35" s="9">
        <f>N34*0.85</f>
        <v/>
      </c>
      <c r="O35" s="9">
        <f>O34*0.85</f>
        <v/>
      </c>
      <c r="P35" s="9">
        <f>P34*0.85</f>
        <v/>
      </c>
      <c r="Q35" s="9">
        <f>Q34*0.85</f>
        <v/>
      </c>
      <c r="R35" s="9">
        <f>R34*0.85</f>
        <v/>
      </c>
      <c r="S35" s="9">
        <f>S34*0.85</f>
        <v/>
      </c>
      <c r="T35" s="9">
        <f>T34*0.85</f>
        <v/>
      </c>
    </row>
    <row r="36">
      <c r="A36" s="3" t="inlineStr">
        <is>
          <t xml:space="preserve">          Δ(%)</t>
        </is>
      </c>
      <c r="B36" s="3" t="inlineStr">
        <is>
          <t>%</t>
        </is>
      </c>
      <c r="C36" s="12" t="n">
        <v>0</v>
      </c>
      <c r="D36" s="12">
        <f>IFERROR((D35-C35)/C35,0)</f>
        <v/>
      </c>
      <c r="E36" s="12">
        <f>IFERROR((E35-D35)/D35,0)</f>
        <v/>
      </c>
      <c r="F36" s="12">
        <f>IFERROR((F35-E35)/E35,0)</f>
        <v/>
      </c>
      <c r="G36" s="12">
        <f>IFERROR((G35-F35)/F35,0)</f>
        <v/>
      </c>
      <c r="H36" s="12">
        <f>IFERROR((H35-G35)/G35,0)</f>
        <v/>
      </c>
      <c r="I36" s="12">
        <f>IFERROR((I35-H35)/H35,0)</f>
        <v/>
      </c>
      <c r="J36" s="12">
        <f>IFERROR((J35-I35)/I35,0)</f>
        <v/>
      </c>
      <c r="K36" s="12">
        <f>IFERROR((K35-J35)/J35,0)</f>
        <v/>
      </c>
      <c r="L36" s="12">
        <f>IFERROR((L35-K35)/K35,0)</f>
        <v/>
      </c>
      <c r="M36" s="12">
        <f>IFERROR((M35-L35)/L35,0)</f>
        <v/>
      </c>
      <c r="N36" s="12">
        <f>IFERROR((N35-M35)/M35,0)</f>
        <v/>
      </c>
      <c r="O36" s="12">
        <f>IFERROR((O35-N35)/N35,0)</f>
        <v/>
      </c>
      <c r="P36" s="12">
        <f>IFERROR((P35-O35)/O35,0)</f>
        <v/>
      </c>
      <c r="Q36" s="12">
        <f>IFERROR((Q35-P35)/P35,0)</f>
        <v/>
      </c>
      <c r="R36" s="12">
        <f>IFERROR((R35-Q35)/Q35,0)</f>
        <v/>
      </c>
      <c r="S36" s="12">
        <f>IFERROR((S35-R35)/R35,0)</f>
        <v/>
      </c>
      <c r="T36" s="12">
        <f>IFERROR((T35-S35)/S35,0)</f>
        <v/>
      </c>
    </row>
    <row r="37">
      <c r="A37" s="8" t="inlineStr">
        <is>
          <t xml:space="preserve">     Apple</t>
        </is>
      </c>
      <c r="B37" s="3" t="inlineStr">
        <is>
          <t>BRL</t>
        </is>
      </c>
      <c r="C37" s="11">
        <f>SUMIFS(Extrato_Importado!$E:$E,Extrato_Importado!$H:$H,"2024-05",Extrato_Importado!$B:$B,"App Store Net Revenue")</f>
        <v/>
      </c>
      <c r="D37" s="11">
        <f>SUMIFS(Extrato_Importado!$E:$E,Extrato_Importado!$H:$H,"2024-06",Extrato_Importado!$B:$B,"App Store Net Revenue")</f>
        <v/>
      </c>
      <c r="E37" s="11">
        <f>SUMIFS(Extrato_Importado!$E:$E,Extrato_Importado!$H:$H,"2024-07",Extrato_Importado!$B:$B,"App Store Net Revenue")</f>
        <v/>
      </c>
      <c r="F37" s="11">
        <f>SUMIFS(Extrato_Importado!$E:$E,Extrato_Importado!$H:$H,"2024-08",Extrato_Importado!$B:$B,"App Store Net Revenue")</f>
        <v/>
      </c>
      <c r="G37" s="11">
        <f>SUMIFS(Extrato_Importado!$E:$E,Extrato_Importado!$H:$H,"2024-09",Extrato_Importado!$B:$B,"App Store Net Revenue")</f>
        <v/>
      </c>
      <c r="H37" s="11">
        <f>SUMIFS(Extrato_Importado!$E:$E,Extrato_Importado!$H:$H,"2024-10",Extrato_Importado!$B:$B,"App Store Net Revenue")</f>
        <v/>
      </c>
      <c r="I37" s="11">
        <f>SUMIFS(Extrato_Importado!$E:$E,Extrato_Importado!$H:$H,"2024-11",Extrato_Importado!$B:$B,"App Store Net Revenue")</f>
        <v/>
      </c>
      <c r="J37" s="11">
        <f>SUMIFS(Extrato_Importado!$E:$E,Extrato_Importado!$H:$H,"2024-12",Extrato_Importado!$B:$B,"App Store Net Revenue")</f>
        <v/>
      </c>
      <c r="K37" s="11">
        <f>SUMIFS(Extrato_Importado!$E:$E,Extrato_Importado!$H:$H,"2025-01",Extrato_Importado!$B:$B,"App Store Net Revenue")</f>
        <v/>
      </c>
      <c r="L37" s="11">
        <f>SUMIFS(Extrato_Importado!$E:$E,Extrato_Importado!$H:$H,"2025-02",Extrato_Importado!$B:$B,"App Store Net Revenue")</f>
        <v/>
      </c>
      <c r="M37" s="11">
        <f>SUMIFS(Extrato_Importado!$E:$E,Extrato_Importado!$H:$H,"2025-03",Extrato_Importado!$B:$B,"App Store Net Revenue")</f>
        <v/>
      </c>
      <c r="N37" s="11">
        <f>SUMIFS(Extrato_Importado!$E:$E,Extrato_Importado!$H:$H,"2025-04",Extrato_Importado!$B:$B,"App Store Net Revenue")</f>
        <v/>
      </c>
      <c r="O37" s="11">
        <f>SUMIFS(Extrato_Importado!$E:$E,Extrato_Importado!$H:$H,"2025-05",Extrato_Importado!$B:$B,"App Store Net Revenue")</f>
        <v/>
      </c>
      <c r="P37" s="11">
        <f>SUMIFS(Extrato_Importado!$E:$E,Extrato_Importado!$H:$H,"2025-06",Extrato_Importado!$B:$B,"App Store Net Revenue")</f>
        <v/>
      </c>
      <c r="Q37" s="11">
        <f>SUMIFS(Extrato_Importado!$E:$E,Extrato_Importado!$H:$H,"2025-07",Extrato_Importado!$B:$B,"App Store Net Revenue")</f>
        <v/>
      </c>
      <c r="R37" s="11">
        <f>SUMIFS(Extrato_Importado!$E:$E,Extrato_Importado!$H:$H,"2025-08",Extrato_Importado!$B:$B,"App Store Net Revenue")</f>
        <v/>
      </c>
      <c r="S37" s="11">
        <f>SUMIFS(Extrato_Importado!$E:$E,Extrato_Importado!$H:$H,"2025-09",Extrato_Importado!$B:$B,"App Store Net Revenue")</f>
        <v/>
      </c>
      <c r="T37" s="11">
        <f>SUMIFS(Extrato_Importado!$E:$E,Extrato_Importado!$H:$H,"2025-10",Extrato_Importado!$B:$B,"App Store Net Revenue")</f>
        <v/>
      </c>
    </row>
    <row r="38">
      <c r="A38" s="3" t="inlineStr">
        <is>
          <t xml:space="preserve">          Brazil</t>
        </is>
      </c>
      <c r="B38" s="3" t="inlineStr">
        <is>
          <t>BRL</t>
        </is>
      </c>
      <c r="C38" s="11">
        <f>SUMIFS(Extrato_Importado!$E:$E,Extrato_Importado!$H:$H,"2024-05",Extrato_Importado!$B:$B,"App Store Net Revenue")</f>
        <v/>
      </c>
      <c r="D38" s="11">
        <f>SUMIFS(Extrato_Importado!$E:$E,Extrato_Importado!$H:$H,"2024-06",Extrato_Importado!$B:$B,"App Store Net Revenue")</f>
        <v/>
      </c>
      <c r="E38" s="11">
        <f>SUMIFS(Extrato_Importado!$E:$E,Extrato_Importado!$H:$H,"2024-07",Extrato_Importado!$B:$B,"App Store Net Revenue")</f>
        <v/>
      </c>
      <c r="F38" s="11">
        <f>SUMIFS(Extrato_Importado!$E:$E,Extrato_Importado!$H:$H,"2024-08",Extrato_Importado!$B:$B,"App Store Net Revenue")</f>
        <v/>
      </c>
      <c r="G38" s="11">
        <f>SUMIFS(Extrato_Importado!$E:$E,Extrato_Importado!$H:$H,"2024-09",Extrato_Importado!$B:$B,"App Store Net Revenue")</f>
        <v/>
      </c>
      <c r="H38" s="11">
        <f>SUMIFS(Extrato_Importado!$E:$E,Extrato_Importado!$H:$H,"2024-10",Extrato_Importado!$B:$B,"App Store Net Revenue")</f>
        <v/>
      </c>
      <c r="I38" s="11">
        <f>SUMIFS(Extrato_Importado!$E:$E,Extrato_Importado!$H:$H,"2024-11",Extrato_Importado!$B:$B,"App Store Net Revenue")</f>
        <v/>
      </c>
      <c r="J38" s="11">
        <f>SUMIFS(Extrato_Importado!$E:$E,Extrato_Importado!$H:$H,"2024-12",Extrato_Importado!$B:$B,"App Store Net Revenue")</f>
        <v/>
      </c>
      <c r="K38" s="11">
        <f>SUMIFS(Extrato_Importado!$E:$E,Extrato_Importado!$H:$H,"2025-01",Extrato_Importado!$B:$B,"App Store Net Revenue")</f>
        <v/>
      </c>
      <c r="L38" s="11">
        <f>SUMIFS(Extrato_Importado!$E:$E,Extrato_Importado!$H:$H,"2025-02",Extrato_Importado!$B:$B,"App Store Net Revenue")</f>
        <v/>
      </c>
      <c r="M38" s="11">
        <f>SUMIFS(Extrato_Importado!$E:$E,Extrato_Importado!$H:$H,"2025-03",Extrato_Importado!$B:$B,"App Store Net Revenue")</f>
        <v/>
      </c>
      <c r="N38" s="11">
        <f>SUMIFS(Extrato_Importado!$E:$E,Extrato_Importado!$H:$H,"2025-04",Extrato_Importado!$B:$B,"App Store Net Revenue")</f>
        <v/>
      </c>
      <c r="O38" s="11">
        <f>SUMIFS(Extrato_Importado!$E:$E,Extrato_Importado!$H:$H,"2025-05",Extrato_Importado!$B:$B,"App Store Net Revenue")</f>
        <v/>
      </c>
      <c r="P38" s="11">
        <f>SUMIFS(Extrato_Importado!$E:$E,Extrato_Importado!$H:$H,"2025-06",Extrato_Importado!$B:$B,"App Store Net Revenue")</f>
        <v/>
      </c>
      <c r="Q38" s="11">
        <f>SUMIFS(Extrato_Importado!$E:$E,Extrato_Importado!$H:$H,"2025-07",Extrato_Importado!$B:$B,"App Store Net Revenue")</f>
        <v/>
      </c>
      <c r="R38" s="11">
        <f>SUMIFS(Extrato_Importado!$E:$E,Extrato_Importado!$H:$H,"2025-08",Extrato_Importado!$B:$B,"App Store Net Revenue")</f>
        <v/>
      </c>
      <c r="S38" s="11">
        <f>SUMIFS(Extrato_Importado!$E:$E,Extrato_Importado!$H:$H,"2025-09",Extrato_Importado!$B:$B,"App Store Net Revenue")</f>
        <v/>
      </c>
      <c r="T38" s="11">
        <f>SUMIFS(Extrato_Importado!$E:$E,Extrato_Importado!$H:$H,"2025-10",Extrato_Importado!$B:$B,"App Store Net Revenue")</f>
        <v/>
      </c>
    </row>
    <row r="39">
      <c r="A39" s="3" t="inlineStr">
        <is>
          <t xml:space="preserve">          Brazil Margin (%)</t>
        </is>
      </c>
      <c r="B39" s="3" t="inlineStr">
        <is>
          <t>%</t>
        </is>
      </c>
      <c r="C39" s="12">
        <f>IFERROR(C38/C37,0)</f>
        <v/>
      </c>
      <c r="D39" s="12">
        <f>IFERROR(D38/D37,0)</f>
        <v/>
      </c>
      <c r="E39" s="12">
        <f>IFERROR(E38/E37,0)</f>
        <v/>
      </c>
      <c r="F39" s="12">
        <f>IFERROR(F38/F37,0)</f>
        <v/>
      </c>
      <c r="G39" s="12">
        <f>IFERROR(G38/G37,0)</f>
        <v/>
      </c>
      <c r="H39" s="12">
        <f>IFERROR(H38/H37,0)</f>
        <v/>
      </c>
      <c r="I39" s="12">
        <f>IFERROR(I38/I37,0)</f>
        <v/>
      </c>
      <c r="J39" s="12">
        <f>IFERROR(J38/J37,0)</f>
        <v/>
      </c>
      <c r="K39" s="12">
        <f>IFERROR(K38/K37,0)</f>
        <v/>
      </c>
      <c r="L39" s="12">
        <f>IFERROR(L38/L37,0)</f>
        <v/>
      </c>
      <c r="M39" s="12">
        <f>IFERROR(M38/M37,0)</f>
        <v/>
      </c>
      <c r="N39" s="12">
        <f>IFERROR(N38/N37,0)</f>
        <v/>
      </c>
      <c r="O39" s="12">
        <f>IFERROR(O38/O37,0)</f>
        <v/>
      </c>
      <c r="P39" s="12">
        <f>IFERROR(P38/P37,0)</f>
        <v/>
      </c>
      <c r="Q39" s="12">
        <f>IFERROR(Q38/Q37,0)</f>
        <v/>
      </c>
      <c r="R39" s="12">
        <f>IFERROR(R38/R37,0)</f>
        <v/>
      </c>
      <c r="S39" s="12">
        <f>IFERROR(S38/S37,0)</f>
        <v/>
      </c>
      <c r="T39" s="12">
        <f>IFERROR(T38/T37,0)</f>
        <v/>
      </c>
    </row>
    <row r="40">
      <c r="A40" s="3" t="inlineStr">
        <is>
          <t xml:space="preserve">          USA</t>
        </is>
      </c>
      <c r="B40" s="3" t="inlineStr">
        <is>
          <t>BRL</t>
        </is>
      </c>
      <c r="C40" s="11">
        <f>SUMIFS(Extrato_Importado!$E:$E,Extrato_Importado!$H:$H,"2024-05",Extrato_Importado!$B:$B,"App Store Net Revenue")</f>
        <v/>
      </c>
      <c r="D40" s="11">
        <f>SUMIFS(Extrato_Importado!$E:$E,Extrato_Importado!$H:$H,"2024-06",Extrato_Importado!$B:$B,"App Store Net Revenue")</f>
        <v/>
      </c>
      <c r="E40" s="11">
        <f>SUMIFS(Extrato_Importado!$E:$E,Extrato_Importado!$H:$H,"2024-07",Extrato_Importado!$B:$B,"App Store Net Revenue")</f>
        <v/>
      </c>
      <c r="F40" s="11">
        <f>SUMIFS(Extrato_Importado!$E:$E,Extrato_Importado!$H:$H,"2024-08",Extrato_Importado!$B:$B,"App Store Net Revenue")</f>
        <v/>
      </c>
      <c r="G40" s="11">
        <f>SUMIFS(Extrato_Importado!$E:$E,Extrato_Importado!$H:$H,"2024-09",Extrato_Importado!$B:$B,"App Store Net Revenue")</f>
        <v/>
      </c>
      <c r="H40" s="11">
        <f>SUMIFS(Extrato_Importado!$E:$E,Extrato_Importado!$H:$H,"2024-10",Extrato_Importado!$B:$B,"App Store Net Revenue")</f>
        <v/>
      </c>
      <c r="I40" s="11">
        <f>SUMIFS(Extrato_Importado!$E:$E,Extrato_Importado!$H:$H,"2024-11",Extrato_Importado!$B:$B,"App Store Net Revenue")</f>
        <v/>
      </c>
      <c r="J40" s="11">
        <f>SUMIFS(Extrato_Importado!$E:$E,Extrato_Importado!$H:$H,"2024-12",Extrato_Importado!$B:$B,"App Store Net Revenue")</f>
        <v/>
      </c>
      <c r="K40" s="11">
        <f>SUMIFS(Extrato_Importado!$E:$E,Extrato_Importado!$H:$H,"2025-01",Extrato_Importado!$B:$B,"App Store Net Revenue")</f>
        <v/>
      </c>
      <c r="L40" s="11">
        <f>SUMIFS(Extrato_Importado!$E:$E,Extrato_Importado!$H:$H,"2025-02",Extrato_Importado!$B:$B,"App Store Net Revenue")</f>
        <v/>
      </c>
      <c r="M40" s="11">
        <f>SUMIFS(Extrato_Importado!$E:$E,Extrato_Importado!$H:$H,"2025-03",Extrato_Importado!$B:$B,"App Store Net Revenue")</f>
        <v/>
      </c>
      <c r="N40" s="11">
        <f>SUMIFS(Extrato_Importado!$E:$E,Extrato_Importado!$H:$H,"2025-04",Extrato_Importado!$B:$B,"App Store Net Revenue")</f>
        <v/>
      </c>
      <c r="O40" s="11">
        <f>SUMIFS(Extrato_Importado!$E:$E,Extrato_Importado!$H:$H,"2025-05",Extrato_Importado!$B:$B,"App Store Net Revenue")</f>
        <v/>
      </c>
      <c r="P40" s="11">
        <f>SUMIFS(Extrato_Importado!$E:$E,Extrato_Importado!$H:$H,"2025-06",Extrato_Importado!$B:$B,"App Store Net Revenue")</f>
        <v/>
      </c>
      <c r="Q40" s="11">
        <f>SUMIFS(Extrato_Importado!$E:$E,Extrato_Importado!$H:$H,"2025-07",Extrato_Importado!$B:$B,"App Store Net Revenue")</f>
        <v/>
      </c>
      <c r="R40" s="11">
        <f>SUMIFS(Extrato_Importado!$E:$E,Extrato_Importado!$H:$H,"2025-08",Extrato_Importado!$B:$B,"App Store Net Revenue")</f>
        <v/>
      </c>
      <c r="S40" s="11">
        <f>SUMIFS(Extrato_Importado!$E:$E,Extrato_Importado!$H:$H,"2025-09",Extrato_Importado!$B:$B,"App Store Net Revenue")</f>
        <v/>
      </c>
      <c r="T40" s="11">
        <f>SUMIFS(Extrato_Importado!$E:$E,Extrato_Importado!$H:$H,"2025-10",Extrato_Importado!$B:$B,"App Store Net Revenue")</f>
        <v/>
      </c>
    </row>
    <row r="41">
      <c r="A41" s="3" t="inlineStr">
        <is>
          <t xml:space="preserve">          USA Margin (%)</t>
        </is>
      </c>
      <c r="B41" s="3" t="inlineStr">
        <is>
          <t>%</t>
        </is>
      </c>
      <c r="C41" s="12">
        <f>IFERROR(C40/C37,0)</f>
        <v/>
      </c>
      <c r="D41" s="12">
        <f>IFERROR(D40/D37,0)</f>
        <v/>
      </c>
      <c r="E41" s="12">
        <f>IFERROR(E40/E37,0)</f>
        <v/>
      </c>
      <c r="F41" s="12">
        <f>IFERROR(F40/F37,0)</f>
        <v/>
      </c>
      <c r="G41" s="12">
        <f>IFERROR(G40/G37,0)</f>
        <v/>
      </c>
      <c r="H41" s="12">
        <f>IFERROR(H40/H37,0)</f>
        <v/>
      </c>
      <c r="I41" s="12">
        <f>IFERROR(I40/I37,0)</f>
        <v/>
      </c>
      <c r="J41" s="12">
        <f>IFERROR(J40/J37,0)</f>
        <v/>
      </c>
      <c r="K41" s="12">
        <f>IFERROR(K40/K37,0)</f>
        <v/>
      </c>
      <c r="L41" s="12">
        <f>IFERROR(L40/L37,0)</f>
        <v/>
      </c>
      <c r="M41" s="12">
        <f>IFERROR(M40/M37,0)</f>
        <v/>
      </c>
      <c r="N41" s="12">
        <f>IFERROR(N40/N37,0)</f>
        <v/>
      </c>
      <c r="O41" s="12">
        <f>IFERROR(O40/O37,0)</f>
        <v/>
      </c>
      <c r="P41" s="12">
        <f>IFERROR(P40/P37,0)</f>
        <v/>
      </c>
      <c r="Q41" s="12">
        <f>IFERROR(Q40/Q37,0)</f>
        <v/>
      </c>
      <c r="R41" s="12">
        <f>IFERROR(R40/R37,0)</f>
        <v/>
      </c>
      <c r="S41" s="12">
        <f>IFERROR(S40/S37,0)</f>
        <v/>
      </c>
      <c r="T41" s="12">
        <f>IFERROR(T40/T37,0)</f>
        <v/>
      </c>
    </row>
    <row r="42">
      <c r="A42" s="10" t="inlineStr">
        <is>
          <t>Invest Income (rendimento de aplicação &amp; cashback)</t>
        </is>
      </c>
      <c r="B42" s="3" t="inlineStr">
        <is>
          <t>BRL</t>
        </is>
      </c>
      <c r="C42" s="11">
        <f>SUMIFS(Extrato_Importado!$E:$E,Extrato_Importado!$H:$H,"2024-05",Extrato_Importado!$B:$B,"Rendimentos de Aplicações")</f>
        <v/>
      </c>
      <c r="D42" s="11">
        <f>SUMIFS(Extrato_Importado!$E:$E,Extrato_Importado!$H:$H,"2024-06",Extrato_Importado!$B:$B,"Rendimentos de Aplicações")</f>
        <v/>
      </c>
      <c r="E42" s="11">
        <f>SUMIFS(Extrato_Importado!$E:$E,Extrato_Importado!$H:$H,"2024-07",Extrato_Importado!$B:$B,"Rendimentos de Aplicações")</f>
        <v/>
      </c>
      <c r="F42" s="11">
        <f>SUMIFS(Extrato_Importado!$E:$E,Extrato_Importado!$H:$H,"2024-08",Extrato_Importado!$B:$B,"Rendimentos de Aplicações")</f>
        <v/>
      </c>
      <c r="G42" s="11">
        <f>SUMIFS(Extrato_Importado!$E:$E,Extrato_Importado!$H:$H,"2024-09",Extrato_Importado!$B:$B,"Rendimentos de Aplicações")</f>
        <v/>
      </c>
      <c r="H42" s="11">
        <f>SUMIFS(Extrato_Importado!$E:$E,Extrato_Importado!$H:$H,"2024-10",Extrato_Importado!$B:$B,"Rendimentos de Aplicações")</f>
        <v/>
      </c>
      <c r="I42" s="11">
        <f>SUMIFS(Extrato_Importado!$E:$E,Extrato_Importado!$H:$H,"2024-11",Extrato_Importado!$B:$B,"Rendimentos de Aplicações")</f>
        <v/>
      </c>
      <c r="J42" s="11">
        <f>SUMIFS(Extrato_Importado!$E:$E,Extrato_Importado!$H:$H,"2024-12",Extrato_Importado!$B:$B,"Rendimentos de Aplicações")</f>
        <v/>
      </c>
      <c r="K42" s="11">
        <f>SUMIFS(Extrato_Importado!$E:$E,Extrato_Importado!$H:$H,"2025-01",Extrato_Importado!$B:$B,"Rendimentos de Aplicações")</f>
        <v/>
      </c>
      <c r="L42" s="11">
        <f>SUMIFS(Extrato_Importado!$E:$E,Extrato_Importado!$H:$H,"2025-02",Extrato_Importado!$B:$B,"Rendimentos de Aplicações")</f>
        <v/>
      </c>
      <c r="M42" s="11">
        <f>SUMIFS(Extrato_Importado!$E:$E,Extrato_Importado!$H:$H,"2025-03",Extrato_Importado!$B:$B,"Rendimentos de Aplicações")</f>
        <v/>
      </c>
      <c r="N42" s="11">
        <f>SUMIFS(Extrato_Importado!$E:$E,Extrato_Importado!$H:$H,"2025-04",Extrato_Importado!$B:$B,"Rendimentos de Aplicações")</f>
        <v/>
      </c>
      <c r="O42" s="11">
        <f>SUMIFS(Extrato_Importado!$E:$E,Extrato_Importado!$H:$H,"2025-05",Extrato_Importado!$B:$B,"Rendimentos de Aplicações")</f>
        <v/>
      </c>
      <c r="P42" s="11">
        <f>SUMIFS(Extrato_Importado!$E:$E,Extrato_Importado!$H:$H,"2025-06",Extrato_Importado!$B:$B,"Rendimentos de Aplicações")</f>
        <v/>
      </c>
      <c r="Q42" s="11">
        <f>SUMIFS(Extrato_Importado!$E:$E,Extrato_Importado!$H:$H,"2025-07",Extrato_Importado!$B:$B,"Rendimentos de Aplicações")</f>
        <v/>
      </c>
      <c r="R42" s="11">
        <f>SUMIFS(Extrato_Importado!$E:$E,Extrato_Importado!$H:$H,"2025-08",Extrato_Importado!$B:$B,"Rendimentos de Aplicações")</f>
        <v/>
      </c>
      <c r="S42" s="11">
        <f>SUMIFS(Extrato_Importado!$E:$E,Extrato_Importado!$H:$H,"2025-09",Extrato_Importado!$B:$B,"Rendimentos de Aplicações")</f>
        <v/>
      </c>
      <c r="T42" s="11">
        <f>SUMIFS(Extrato_Importado!$E:$E,Extrato_Importado!$H:$H,"2025-10",Extrato_Importado!$B:$B,"Rendimentos de Aplicações")</f>
        <v/>
      </c>
    </row>
    <row r="44">
      <c r="A44" s="13" t="inlineStr">
        <is>
          <t>Costs of Revenue</t>
        </is>
      </c>
      <c r="B44" s="3" t="inlineStr">
        <is>
          <t>BRL</t>
        </is>
      </c>
      <c r="C44" s="9">
        <f>C45+C46</f>
        <v/>
      </c>
      <c r="D44" s="9">
        <f>D45+D46</f>
        <v/>
      </c>
      <c r="E44" s="9">
        <f>E45+E46</f>
        <v/>
      </c>
      <c r="F44" s="9">
        <f>F45+F46</f>
        <v/>
      </c>
      <c r="G44" s="9">
        <f>G45+G46</f>
        <v/>
      </c>
      <c r="H44" s="9">
        <f>H45+H46</f>
        <v/>
      </c>
      <c r="I44" s="9">
        <f>I45+I46</f>
        <v/>
      </c>
      <c r="J44" s="9">
        <f>J45+J46</f>
        <v/>
      </c>
      <c r="K44" s="9">
        <f>K45+K46</f>
        <v/>
      </c>
      <c r="L44" s="9">
        <f>L45+L46</f>
        <v/>
      </c>
      <c r="M44" s="9">
        <f>M45+M46</f>
        <v/>
      </c>
      <c r="N44" s="9">
        <f>N45+N46</f>
        <v/>
      </c>
      <c r="O44" s="9">
        <f>O45+O46</f>
        <v/>
      </c>
      <c r="P44" s="9">
        <f>P45+P46</f>
        <v/>
      </c>
      <c r="Q44" s="9">
        <f>Q45+Q46</f>
        <v/>
      </c>
      <c r="R44" s="9">
        <f>R45+R46</f>
        <v/>
      </c>
      <c r="S44" s="9">
        <f>S45+S46</f>
        <v/>
      </c>
      <c r="T44" s="9">
        <f>T45+T46</f>
        <v/>
      </c>
    </row>
    <row r="45">
      <c r="A45" s="13" t="inlineStr">
        <is>
          <t>Payment Processing Expenses (despesas de processamento de pagamento)</t>
        </is>
      </c>
      <c r="B45" s="3" t="inlineStr">
        <is>
          <t>BRL</t>
        </is>
      </c>
      <c r="C45" s="9">
        <f>C25*0.1765</f>
        <v/>
      </c>
      <c r="D45" s="9">
        <f>D25*0.1765</f>
        <v/>
      </c>
      <c r="E45" s="9">
        <f>E25*0.1765</f>
        <v/>
      </c>
      <c r="F45" s="9">
        <f>F25*0.1765</f>
        <v/>
      </c>
      <c r="G45" s="9">
        <f>G25*0.1765</f>
        <v/>
      </c>
      <c r="H45" s="9">
        <f>H25*0.1765</f>
        <v/>
      </c>
      <c r="I45" s="9">
        <f>I25*0.1765</f>
        <v/>
      </c>
      <c r="J45" s="9">
        <f>J25*0.1765</f>
        <v/>
      </c>
      <c r="K45" s="9">
        <f>K25*0.1765</f>
        <v/>
      </c>
      <c r="L45" s="9">
        <f>L25*0.1765</f>
        <v/>
      </c>
      <c r="M45" s="9">
        <f>M25*0.1765</f>
        <v/>
      </c>
      <c r="N45" s="9">
        <f>N25*0.1765</f>
        <v/>
      </c>
      <c r="O45" s="9">
        <f>O25*0.1765</f>
        <v/>
      </c>
      <c r="P45" s="9">
        <f>P25*0.1765</f>
        <v/>
      </c>
      <c r="Q45" s="9">
        <f>Q25*0.1765</f>
        <v/>
      </c>
      <c r="R45" s="9">
        <f>R25*0.1765</f>
        <v/>
      </c>
      <c r="S45" s="9">
        <f>S25*0.1765</f>
        <v/>
      </c>
      <c r="T45" s="9">
        <f>T25*0.1765</f>
        <v/>
      </c>
    </row>
    <row r="46">
      <c r="A46" s="13" t="inlineStr">
        <is>
          <t>COGS (CMV)</t>
        </is>
      </c>
      <c r="B46" s="3" t="inlineStr">
        <is>
          <t>BRL</t>
        </is>
      </c>
      <c r="C46" s="9">
        <f>SUM(C47:C52)</f>
        <v/>
      </c>
      <c r="D46" s="9">
        <f>SUM(D47:D52)</f>
        <v/>
      </c>
      <c r="E46" s="9">
        <f>SUM(E47:E52)</f>
        <v/>
      </c>
      <c r="F46" s="9">
        <f>SUM(F47:F52)</f>
        <v/>
      </c>
      <c r="G46" s="9">
        <f>SUM(G47:G52)</f>
        <v/>
      </c>
      <c r="H46" s="9">
        <f>SUM(H47:H52)</f>
        <v/>
      </c>
      <c r="I46" s="9">
        <f>SUM(I47:I52)</f>
        <v/>
      </c>
      <c r="J46" s="9">
        <f>SUM(J47:J52)</f>
        <v/>
      </c>
      <c r="K46" s="9">
        <f>SUM(K47:K52)</f>
        <v/>
      </c>
      <c r="L46" s="9">
        <f>SUM(L47:L52)</f>
        <v/>
      </c>
      <c r="M46" s="9">
        <f>SUM(M47:M52)</f>
        <v/>
      </c>
      <c r="N46" s="9">
        <f>SUM(N47:N52)</f>
        <v/>
      </c>
      <c r="O46" s="9">
        <f>SUM(O47:O52)</f>
        <v/>
      </c>
      <c r="P46" s="9">
        <f>SUM(P47:P52)</f>
        <v/>
      </c>
      <c r="Q46" s="9">
        <f>SUM(Q47:Q52)</f>
        <v/>
      </c>
      <c r="R46" s="9">
        <f>SUM(R47:R52)</f>
        <v/>
      </c>
      <c r="S46" s="9">
        <f>SUM(S47:S52)</f>
        <v/>
      </c>
      <c r="T46" s="9">
        <f>SUM(T47:T52)</f>
        <v/>
      </c>
    </row>
    <row r="47">
      <c r="A47" s="8" t="inlineStr">
        <is>
          <t xml:space="preserve">     AWS</t>
        </is>
      </c>
      <c r="B47" s="3" t="inlineStr">
        <is>
          <t>BRL</t>
        </is>
      </c>
      <c r="C47" s="11">
        <f>SUMIFS(Extrato_Importado!$E:$E,Extrato_Importado!$H:$H,"2024-05",Extrato_Importado!$B:$B,"Web Services Expenses",Extrato_Importado!$C:$C,"*AWS*")</f>
        <v/>
      </c>
      <c r="D47" s="11">
        <f>SUMIFS(Extrato_Importado!$E:$E,Extrato_Importado!$H:$H,"2024-06",Extrato_Importado!$B:$B,"Web Services Expenses",Extrato_Importado!$C:$C,"*AWS*")</f>
        <v/>
      </c>
      <c r="E47" s="11">
        <f>SUMIFS(Extrato_Importado!$E:$E,Extrato_Importado!$H:$H,"2024-07",Extrato_Importado!$B:$B,"Web Services Expenses",Extrato_Importado!$C:$C,"*AWS*")</f>
        <v/>
      </c>
      <c r="F47" s="11">
        <f>SUMIFS(Extrato_Importado!$E:$E,Extrato_Importado!$H:$H,"2024-08",Extrato_Importado!$B:$B,"Web Services Expenses",Extrato_Importado!$C:$C,"*AWS*")</f>
        <v/>
      </c>
      <c r="G47" s="11">
        <f>SUMIFS(Extrato_Importado!$E:$E,Extrato_Importado!$H:$H,"2024-09",Extrato_Importado!$B:$B,"Web Services Expenses",Extrato_Importado!$C:$C,"*AWS*")</f>
        <v/>
      </c>
      <c r="H47" s="11">
        <f>SUMIFS(Extrato_Importado!$E:$E,Extrato_Importado!$H:$H,"2024-10",Extrato_Importado!$B:$B,"Web Services Expenses",Extrato_Importado!$C:$C,"*AWS*")</f>
        <v/>
      </c>
      <c r="I47" s="11">
        <f>SUMIFS(Extrato_Importado!$E:$E,Extrato_Importado!$H:$H,"2024-11",Extrato_Importado!$B:$B,"Web Services Expenses",Extrato_Importado!$C:$C,"*AWS*")</f>
        <v/>
      </c>
      <c r="J47" s="11">
        <f>SUMIFS(Extrato_Importado!$E:$E,Extrato_Importado!$H:$H,"2024-12",Extrato_Importado!$B:$B,"Web Services Expenses",Extrato_Importado!$C:$C,"*AWS*")</f>
        <v/>
      </c>
      <c r="K47" s="11">
        <f>SUMIFS(Extrato_Importado!$E:$E,Extrato_Importado!$H:$H,"2025-01",Extrato_Importado!$B:$B,"Web Services Expenses",Extrato_Importado!$C:$C,"*AWS*")</f>
        <v/>
      </c>
      <c r="L47" s="11">
        <f>SUMIFS(Extrato_Importado!$E:$E,Extrato_Importado!$H:$H,"2025-02",Extrato_Importado!$B:$B,"Web Services Expenses",Extrato_Importado!$C:$C,"*AWS*")</f>
        <v/>
      </c>
      <c r="M47" s="11">
        <f>SUMIFS(Extrato_Importado!$E:$E,Extrato_Importado!$H:$H,"2025-03",Extrato_Importado!$B:$B,"Web Services Expenses",Extrato_Importado!$C:$C,"*AWS*")</f>
        <v/>
      </c>
      <c r="N47" s="11">
        <f>SUMIFS(Extrato_Importado!$E:$E,Extrato_Importado!$H:$H,"2025-04",Extrato_Importado!$B:$B,"Web Services Expenses",Extrato_Importado!$C:$C,"*AWS*")</f>
        <v/>
      </c>
      <c r="O47" s="11">
        <f>SUMIFS(Extrato_Importado!$E:$E,Extrato_Importado!$H:$H,"2025-05",Extrato_Importado!$B:$B,"Web Services Expenses",Extrato_Importado!$C:$C,"*AWS*")</f>
        <v/>
      </c>
      <c r="P47" s="11">
        <f>SUMIFS(Extrato_Importado!$E:$E,Extrato_Importado!$H:$H,"2025-06",Extrato_Importado!$B:$B,"Web Services Expenses",Extrato_Importado!$C:$C,"*AWS*")</f>
        <v/>
      </c>
      <c r="Q47" s="11">
        <f>SUMIFS(Extrato_Importado!$E:$E,Extrato_Importado!$H:$H,"2025-07",Extrato_Importado!$B:$B,"Web Services Expenses",Extrato_Importado!$C:$C,"*AWS*")</f>
        <v/>
      </c>
      <c r="R47" s="11">
        <f>SUMIFS(Extrato_Importado!$E:$E,Extrato_Importado!$H:$H,"2025-08",Extrato_Importado!$B:$B,"Web Services Expenses",Extrato_Importado!$C:$C,"*AWS*")</f>
        <v/>
      </c>
      <c r="S47" s="11">
        <f>SUMIFS(Extrato_Importado!$E:$E,Extrato_Importado!$H:$H,"2025-09",Extrato_Importado!$B:$B,"Web Services Expenses",Extrato_Importado!$C:$C,"*AWS*")</f>
        <v/>
      </c>
      <c r="T47" s="11">
        <f>SUMIFS(Extrato_Importado!$E:$E,Extrato_Importado!$H:$H,"2025-10",Extrato_Importado!$B:$B,"Web Services Expenses",Extrato_Importado!$C:$C,"*AWS*")</f>
        <v/>
      </c>
    </row>
    <row r="48">
      <c r="A48" s="8" t="inlineStr">
        <is>
          <t xml:space="preserve">     Cloudflare</t>
        </is>
      </c>
      <c r="B48" s="3" t="inlineStr">
        <is>
          <t>BRL</t>
        </is>
      </c>
      <c r="C48" s="11">
        <f>SUMIFS(Extrato_Importado!$E:$E,Extrato_Importado!$H:$H,"2024-05",Extrato_Importado!$B:$B,"Web Services Expenses",Extrato_Importado!$C:$C,"*Cloudflare*")</f>
        <v/>
      </c>
      <c r="D48" s="11">
        <f>SUMIFS(Extrato_Importado!$E:$E,Extrato_Importado!$H:$H,"2024-06",Extrato_Importado!$B:$B,"Web Services Expenses",Extrato_Importado!$C:$C,"*Cloudflare*")</f>
        <v/>
      </c>
      <c r="E48" s="11">
        <f>SUMIFS(Extrato_Importado!$E:$E,Extrato_Importado!$H:$H,"2024-07",Extrato_Importado!$B:$B,"Web Services Expenses",Extrato_Importado!$C:$C,"*Cloudflare*")</f>
        <v/>
      </c>
      <c r="F48" s="11">
        <f>SUMIFS(Extrato_Importado!$E:$E,Extrato_Importado!$H:$H,"2024-08",Extrato_Importado!$B:$B,"Web Services Expenses",Extrato_Importado!$C:$C,"*Cloudflare*")</f>
        <v/>
      </c>
      <c r="G48" s="11">
        <f>SUMIFS(Extrato_Importado!$E:$E,Extrato_Importado!$H:$H,"2024-09",Extrato_Importado!$B:$B,"Web Services Expenses",Extrato_Importado!$C:$C,"*Cloudflare*")</f>
        <v/>
      </c>
      <c r="H48" s="11">
        <f>SUMIFS(Extrato_Importado!$E:$E,Extrato_Importado!$H:$H,"2024-10",Extrato_Importado!$B:$B,"Web Services Expenses",Extrato_Importado!$C:$C,"*Cloudflare*")</f>
        <v/>
      </c>
      <c r="I48" s="11">
        <f>SUMIFS(Extrato_Importado!$E:$E,Extrato_Importado!$H:$H,"2024-11",Extrato_Importado!$B:$B,"Web Services Expenses",Extrato_Importado!$C:$C,"*Cloudflare*")</f>
        <v/>
      </c>
      <c r="J48" s="11">
        <f>SUMIFS(Extrato_Importado!$E:$E,Extrato_Importado!$H:$H,"2024-12",Extrato_Importado!$B:$B,"Web Services Expenses",Extrato_Importado!$C:$C,"*Cloudflare*")</f>
        <v/>
      </c>
      <c r="K48" s="11">
        <f>SUMIFS(Extrato_Importado!$E:$E,Extrato_Importado!$H:$H,"2025-01",Extrato_Importado!$B:$B,"Web Services Expenses",Extrato_Importado!$C:$C,"*Cloudflare*")</f>
        <v/>
      </c>
      <c r="L48" s="11">
        <f>SUMIFS(Extrato_Importado!$E:$E,Extrato_Importado!$H:$H,"2025-02",Extrato_Importado!$B:$B,"Web Services Expenses",Extrato_Importado!$C:$C,"*Cloudflare*")</f>
        <v/>
      </c>
      <c r="M48" s="11">
        <f>SUMIFS(Extrato_Importado!$E:$E,Extrato_Importado!$H:$H,"2025-03",Extrato_Importado!$B:$B,"Web Services Expenses",Extrato_Importado!$C:$C,"*Cloudflare*")</f>
        <v/>
      </c>
      <c r="N48" s="11">
        <f>SUMIFS(Extrato_Importado!$E:$E,Extrato_Importado!$H:$H,"2025-04",Extrato_Importado!$B:$B,"Web Services Expenses",Extrato_Importado!$C:$C,"*Cloudflare*")</f>
        <v/>
      </c>
      <c r="O48" s="11">
        <f>SUMIFS(Extrato_Importado!$E:$E,Extrato_Importado!$H:$H,"2025-05",Extrato_Importado!$B:$B,"Web Services Expenses",Extrato_Importado!$C:$C,"*Cloudflare*")</f>
        <v/>
      </c>
      <c r="P48" s="11">
        <f>SUMIFS(Extrato_Importado!$E:$E,Extrato_Importado!$H:$H,"2025-06",Extrato_Importado!$B:$B,"Web Services Expenses",Extrato_Importado!$C:$C,"*Cloudflare*")</f>
        <v/>
      </c>
      <c r="Q48" s="11">
        <f>SUMIFS(Extrato_Importado!$E:$E,Extrato_Importado!$H:$H,"2025-07",Extrato_Importado!$B:$B,"Web Services Expenses",Extrato_Importado!$C:$C,"*Cloudflare*")</f>
        <v/>
      </c>
      <c r="R48" s="11">
        <f>SUMIFS(Extrato_Importado!$E:$E,Extrato_Importado!$H:$H,"2025-08",Extrato_Importado!$B:$B,"Web Services Expenses",Extrato_Importado!$C:$C,"*Cloudflare*")</f>
        <v/>
      </c>
      <c r="S48" s="11">
        <f>SUMIFS(Extrato_Importado!$E:$E,Extrato_Importado!$H:$H,"2025-09",Extrato_Importado!$B:$B,"Web Services Expenses",Extrato_Importado!$C:$C,"*Cloudflare*")</f>
        <v/>
      </c>
      <c r="T48" s="11">
        <f>SUMIFS(Extrato_Importado!$E:$E,Extrato_Importado!$H:$H,"2025-10",Extrato_Importado!$B:$B,"Web Services Expenses",Extrato_Importado!$C:$C,"*Cloudflare*")</f>
        <v/>
      </c>
    </row>
    <row r="49">
      <c r="A49" s="8" t="inlineStr">
        <is>
          <t xml:space="preserve">     Heroku</t>
        </is>
      </c>
      <c r="B49" s="3" t="inlineStr">
        <is>
          <t>BRL</t>
        </is>
      </c>
      <c r="C49" s="11">
        <f>SUMIFS(Extrato_Importado!$E:$E,Extrato_Importado!$H:$H,"2024-05",Extrato_Importado!$B:$B,"Web Services Expenses",Extrato_Importado!$C:$C,"*Heroku*")</f>
        <v/>
      </c>
      <c r="D49" s="11">
        <f>SUMIFS(Extrato_Importado!$E:$E,Extrato_Importado!$H:$H,"2024-06",Extrato_Importado!$B:$B,"Web Services Expenses",Extrato_Importado!$C:$C,"*Heroku*")</f>
        <v/>
      </c>
      <c r="E49" s="11">
        <f>SUMIFS(Extrato_Importado!$E:$E,Extrato_Importado!$H:$H,"2024-07",Extrato_Importado!$B:$B,"Web Services Expenses",Extrato_Importado!$C:$C,"*Heroku*")</f>
        <v/>
      </c>
      <c r="F49" s="11">
        <f>SUMIFS(Extrato_Importado!$E:$E,Extrato_Importado!$H:$H,"2024-08",Extrato_Importado!$B:$B,"Web Services Expenses",Extrato_Importado!$C:$C,"*Heroku*")</f>
        <v/>
      </c>
      <c r="G49" s="11">
        <f>SUMIFS(Extrato_Importado!$E:$E,Extrato_Importado!$H:$H,"2024-09",Extrato_Importado!$B:$B,"Web Services Expenses",Extrato_Importado!$C:$C,"*Heroku*")</f>
        <v/>
      </c>
      <c r="H49" s="11">
        <f>SUMIFS(Extrato_Importado!$E:$E,Extrato_Importado!$H:$H,"2024-10",Extrato_Importado!$B:$B,"Web Services Expenses",Extrato_Importado!$C:$C,"*Heroku*")</f>
        <v/>
      </c>
      <c r="I49" s="11">
        <f>SUMIFS(Extrato_Importado!$E:$E,Extrato_Importado!$H:$H,"2024-11",Extrato_Importado!$B:$B,"Web Services Expenses",Extrato_Importado!$C:$C,"*Heroku*")</f>
        <v/>
      </c>
      <c r="J49" s="11">
        <f>SUMIFS(Extrato_Importado!$E:$E,Extrato_Importado!$H:$H,"2024-12",Extrato_Importado!$B:$B,"Web Services Expenses",Extrato_Importado!$C:$C,"*Heroku*")</f>
        <v/>
      </c>
      <c r="K49" s="11">
        <f>SUMIFS(Extrato_Importado!$E:$E,Extrato_Importado!$H:$H,"2025-01",Extrato_Importado!$B:$B,"Web Services Expenses",Extrato_Importado!$C:$C,"*Heroku*")</f>
        <v/>
      </c>
      <c r="L49" s="11">
        <f>SUMIFS(Extrato_Importado!$E:$E,Extrato_Importado!$H:$H,"2025-02",Extrato_Importado!$B:$B,"Web Services Expenses",Extrato_Importado!$C:$C,"*Heroku*")</f>
        <v/>
      </c>
      <c r="M49" s="11">
        <f>SUMIFS(Extrato_Importado!$E:$E,Extrato_Importado!$H:$H,"2025-03",Extrato_Importado!$B:$B,"Web Services Expenses",Extrato_Importado!$C:$C,"*Heroku*")</f>
        <v/>
      </c>
      <c r="N49" s="11">
        <f>SUMIFS(Extrato_Importado!$E:$E,Extrato_Importado!$H:$H,"2025-04",Extrato_Importado!$B:$B,"Web Services Expenses",Extrato_Importado!$C:$C,"*Heroku*")</f>
        <v/>
      </c>
      <c r="O49" s="11">
        <f>SUMIFS(Extrato_Importado!$E:$E,Extrato_Importado!$H:$H,"2025-05",Extrato_Importado!$B:$B,"Web Services Expenses",Extrato_Importado!$C:$C,"*Heroku*")</f>
        <v/>
      </c>
      <c r="P49" s="11">
        <f>SUMIFS(Extrato_Importado!$E:$E,Extrato_Importado!$H:$H,"2025-06",Extrato_Importado!$B:$B,"Web Services Expenses",Extrato_Importado!$C:$C,"*Heroku*")</f>
        <v/>
      </c>
      <c r="Q49" s="11">
        <f>SUMIFS(Extrato_Importado!$E:$E,Extrato_Importado!$H:$H,"2025-07",Extrato_Importado!$B:$B,"Web Services Expenses",Extrato_Importado!$C:$C,"*Heroku*")</f>
        <v/>
      </c>
      <c r="R49" s="11">
        <f>SUMIFS(Extrato_Importado!$E:$E,Extrato_Importado!$H:$H,"2025-08",Extrato_Importado!$B:$B,"Web Services Expenses",Extrato_Importado!$C:$C,"*Heroku*")</f>
        <v/>
      </c>
      <c r="S49" s="11">
        <f>SUMIFS(Extrato_Importado!$E:$E,Extrato_Importado!$H:$H,"2025-09",Extrato_Importado!$B:$B,"Web Services Expenses",Extrato_Importado!$C:$C,"*Heroku*")</f>
        <v/>
      </c>
      <c r="T49" s="11">
        <f>SUMIFS(Extrato_Importado!$E:$E,Extrato_Importado!$H:$H,"2025-10",Extrato_Importado!$B:$B,"Web Services Expenses",Extrato_Importado!$C:$C,"*Heroku*")</f>
        <v/>
      </c>
    </row>
    <row r="50">
      <c r="A50" s="8" t="inlineStr">
        <is>
          <t xml:space="preserve">     IAPHUB</t>
        </is>
      </c>
      <c r="B50" s="3" t="inlineStr">
        <is>
          <t>BRL</t>
        </is>
      </c>
      <c r="C50" s="11">
        <f>SUMIFS(Extrato_Importado!$E:$E,Extrato_Importado!$H:$H,"2024-05",Extrato_Importado!$B:$B,"Web Services Expenses",Extrato_Importado!$C:$C,"*IAPHUB*")</f>
        <v/>
      </c>
      <c r="D50" s="11">
        <f>SUMIFS(Extrato_Importado!$E:$E,Extrato_Importado!$H:$H,"2024-06",Extrato_Importado!$B:$B,"Web Services Expenses",Extrato_Importado!$C:$C,"*IAPHUB*")</f>
        <v/>
      </c>
      <c r="E50" s="11">
        <f>SUMIFS(Extrato_Importado!$E:$E,Extrato_Importado!$H:$H,"2024-07",Extrato_Importado!$B:$B,"Web Services Expenses",Extrato_Importado!$C:$C,"*IAPHUB*")</f>
        <v/>
      </c>
      <c r="F50" s="11">
        <f>SUMIFS(Extrato_Importado!$E:$E,Extrato_Importado!$H:$H,"2024-08",Extrato_Importado!$B:$B,"Web Services Expenses",Extrato_Importado!$C:$C,"*IAPHUB*")</f>
        <v/>
      </c>
      <c r="G50" s="11">
        <f>SUMIFS(Extrato_Importado!$E:$E,Extrato_Importado!$H:$H,"2024-09",Extrato_Importado!$B:$B,"Web Services Expenses",Extrato_Importado!$C:$C,"*IAPHUB*")</f>
        <v/>
      </c>
      <c r="H50" s="11">
        <f>SUMIFS(Extrato_Importado!$E:$E,Extrato_Importado!$H:$H,"2024-10",Extrato_Importado!$B:$B,"Web Services Expenses",Extrato_Importado!$C:$C,"*IAPHUB*")</f>
        <v/>
      </c>
      <c r="I50" s="11">
        <f>SUMIFS(Extrato_Importado!$E:$E,Extrato_Importado!$H:$H,"2024-11",Extrato_Importado!$B:$B,"Web Services Expenses",Extrato_Importado!$C:$C,"*IAPHUB*")</f>
        <v/>
      </c>
      <c r="J50" s="11">
        <f>SUMIFS(Extrato_Importado!$E:$E,Extrato_Importado!$H:$H,"2024-12",Extrato_Importado!$B:$B,"Web Services Expenses",Extrato_Importado!$C:$C,"*IAPHUB*")</f>
        <v/>
      </c>
      <c r="K50" s="11">
        <f>SUMIFS(Extrato_Importado!$E:$E,Extrato_Importado!$H:$H,"2025-01",Extrato_Importado!$B:$B,"Web Services Expenses",Extrato_Importado!$C:$C,"*IAPHUB*")</f>
        <v/>
      </c>
      <c r="L50" s="11">
        <f>SUMIFS(Extrato_Importado!$E:$E,Extrato_Importado!$H:$H,"2025-02",Extrato_Importado!$B:$B,"Web Services Expenses",Extrato_Importado!$C:$C,"*IAPHUB*")</f>
        <v/>
      </c>
      <c r="M50" s="11">
        <f>SUMIFS(Extrato_Importado!$E:$E,Extrato_Importado!$H:$H,"2025-03",Extrato_Importado!$B:$B,"Web Services Expenses",Extrato_Importado!$C:$C,"*IAPHUB*")</f>
        <v/>
      </c>
      <c r="N50" s="11">
        <f>SUMIFS(Extrato_Importado!$E:$E,Extrato_Importado!$H:$H,"2025-04",Extrato_Importado!$B:$B,"Web Services Expenses",Extrato_Importado!$C:$C,"*IAPHUB*")</f>
        <v/>
      </c>
      <c r="O50" s="11">
        <f>SUMIFS(Extrato_Importado!$E:$E,Extrato_Importado!$H:$H,"2025-05",Extrato_Importado!$B:$B,"Web Services Expenses",Extrato_Importado!$C:$C,"*IAPHUB*")</f>
        <v/>
      </c>
      <c r="P50" s="11">
        <f>SUMIFS(Extrato_Importado!$E:$E,Extrato_Importado!$H:$H,"2025-06",Extrato_Importado!$B:$B,"Web Services Expenses",Extrato_Importado!$C:$C,"*IAPHUB*")</f>
        <v/>
      </c>
      <c r="Q50" s="11">
        <f>SUMIFS(Extrato_Importado!$E:$E,Extrato_Importado!$H:$H,"2025-07",Extrato_Importado!$B:$B,"Web Services Expenses",Extrato_Importado!$C:$C,"*IAPHUB*")</f>
        <v/>
      </c>
      <c r="R50" s="11">
        <f>SUMIFS(Extrato_Importado!$E:$E,Extrato_Importado!$H:$H,"2025-08",Extrato_Importado!$B:$B,"Web Services Expenses",Extrato_Importado!$C:$C,"*IAPHUB*")</f>
        <v/>
      </c>
      <c r="S50" s="11">
        <f>SUMIFS(Extrato_Importado!$E:$E,Extrato_Importado!$H:$H,"2025-09",Extrato_Importado!$B:$B,"Web Services Expenses",Extrato_Importado!$C:$C,"*IAPHUB*")</f>
        <v/>
      </c>
      <c r="T50" s="11">
        <f>SUMIFS(Extrato_Importado!$E:$E,Extrato_Importado!$H:$H,"2025-10",Extrato_Importado!$B:$B,"Web Services Expenses",Extrato_Importado!$C:$C,"*IAPHUB*")</f>
        <v/>
      </c>
    </row>
    <row r="51">
      <c r="A51" s="8" t="inlineStr">
        <is>
          <t xml:space="preserve">     MailGun</t>
        </is>
      </c>
      <c r="B51" s="3" t="inlineStr">
        <is>
          <t>BRL</t>
        </is>
      </c>
      <c r="C51" s="11">
        <f>SUMIFS(Extrato_Importado!$E:$E,Extrato_Importado!$H:$H,"2024-05",Extrato_Importado!$B:$B,"Web Services Expenses",Extrato_Importado!$C:$C,"*MailGun*")</f>
        <v/>
      </c>
      <c r="D51" s="11">
        <f>SUMIFS(Extrato_Importado!$E:$E,Extrato_Importado!$H:$H,"2024-06",Extrato_Importado!$B:$B,"Web Services Expenses",Extrato_Importado!$C:$C,"*MailGun*")</f>
        <v/>
      </c>
      <c r="E51" s="11">
        <f>SUMIFS(Extrato_Importado!$E:$E,Extrato_Importado!$H:$H,"2024-07",Extrato_Importado!$B:$B,"Web Services Expenses",Extrato_Importado!$C:$C,"*MailGun*")</f>
        <v/>
      </c>
      <c r="F51" s="11">
        <f>SUMIFS(Extrato_Importado!$E:$E,Extrato_Importado!$H:$H,"2024-08",Extrato_Importado!$B:$B,"Web Services Expenses",Extrato_Importado!$C:$C,"*MailGun*")</f>
        <v/>
      </c>
      <c r="G51" s="11">
        <f>SUMIFS(Extrato_Importado!$E:$E,Extrato_Importado!$H:$H,"2024-09",Extrato_Importado!$B:$B,"Web Services Expenses",Extrato_Importado!$C:$C,"*MailGun*")</f>
        <v/>
      </c>
      <c r="H51" s="11">
        <f>SUMIFS(Extrato_Importado!$E:$E,Extrato_Importado!$H:$H,"2024-10",Extrato_Importado!$B:$B,"Web Services Expenses",Extrato_Importado!$C:$C,"*MailGun*")</f>
        <v/>
      </c>
      <c r="I51" s="11">
        <f>SUMIFS(Extrato_Importado!$E:$E,Extrato_Importado!$H:$H,"2024-11",Extrato_Importado!$B:$B,"Web Services Expenses",Extrato_Importado!$C:$C,"*MailGun*")</f>
        <v/>
      </c>
      <c r="J51" s="11">
        <f>SUMIFS(Extrato_Importado!$E:$E,Extrato_Importado!$H:$H,"2024-12",Extrato_Importado!$B:$B,"Web Services Expenses",Extrato_Importado!$C:$C,"*MailGun*")</f>
        <v/>
      </c>
      <c r="K51" s="11">
        <f>SUMIFS(Extrato_Importado!$E:$E,Extrato_Importado!$H:$H,"2025-01",Extrato_Importado!$B:$B,"Web Services Expenses",Extrato_Importado!$C:$C,"*MailGun*")</f>
        <v/>
      </c>
      <c r="L51" s="11">
        <f>SUMIFS(Extrato_Importado!$E:$E,Extrato_Importado!$H:$H,"2025-02",Extrato_Importado!$B:$B,"Web Services Expenses",Extrato_Importado!$C:$C,"*MailGun*")</f>
        <v/>
      </c>
      <c r="M51" s="11">
        <f>SUMIFS(Extrato_Importado!$E:$E,Extrato_Importado!$H:$H,"2025-03",Extrato_Importado!$B:$B,"Web Services Expenses",Extrato_Importado!$C:$C,"*MailGun*")</f>
        <v/>
      </c>
      <c r="N51" s="11">
        <f>SUMIFS(Extrato_Importado!$E:$E,Extrato_Importado!$H:$H,"2025-04",Extrato_Importado!$B:$B,"Web Services Expenses",Extrato_Importado!$C:$C,"*MailGun*")</f>
        <v/>
      </c>
      <c r="O51" s="11">
        <f>SUMIFS(Extrato_Importado!$E:$E,Extrato_Importado!$H:$H,"2025-05",Extrato_Importado!$B:$B,"Web Services Expenses",Extrato_Importado!$C:$C,"*MailGun*")</f>
        <v/>
      </c>
      <c r="P51" s="11">
        <f>SUMIFS(Extrato_Importado!$E:$E,Extrato_Importado!$H:$H,"2025-06",Extrato_Importado!$B:$B,"Web Services Expenses",Extrato_Importado!$C:$C,"*MailGun*")</f>
        <v/>
      </c>
      <c r="Q51" s="11">
        <f>SUMIFS(Extrato_Importado!$E:$E,Extrato_Importado!$H:$H,"2025-07",Extrato_Importado!$B:$B,"Web Services Expenses",Extrato_Importado!$C:$C,"*MailGun*")</f>
        <v/>
      </c>
      <c r="R51" s="11">
        <f>SUMIFS(Extrato_Importado!$E:$E,Extrato_Importado!$H:$H,"2025-08",Extrato_Importado!$B:$B,"Web Services Expenses",Extrato_Importado!$C:$C,"*MailGun*")</f>
        <v/>
      </c>
      <c r="S51" s="11">
        <f>SUMIFS(Extrato_Importado!$E:$E,Extrato_Importado!$H:$H,"2025-09",Extrato_Importado!$B:$B,"Web Services Expenses",Extrato_Importado!$C:$C,"*MailGun*")</f>
        <v/>
      </c>
      <c r="T51" s="11">
        <f>SUMIFS(Extrato_Importado!$E:$E,Extrato_Importado!$H:$H,"2025-10",Extrato_Importado!$B:$B,"Web Services Expenses",Extrato_Importado!$C:$C,"*MailGun*")</f>
        <v/>
      </c>
    </row>
    <row r="52">
      <c r="A52" s="8" t="inlineStr">
        <is>
          <t xml:space="preserve">     AWS SES</t>
        </is>
      </c>
      <c r="B52" s="3" t="inlineStr">
        <is>
          <t>BRL</t>
        </is>
      </c>
      <c r="C52" s="11">
        <f>SUMIFS(Extrato_Importado!$E:$E,Extrato_Importado!$H:$H,"2024-05",Extrato_Importado!$B:$B,"Web Services Expenses",Extrato_Importado!$C:$C,"*AWS SES*")</f>
        <v/>
      </c>
      <c r="D52" s="11">
        <f>SUMIFS(Extrato_Importado!$E:$E,Extrato_Importado!$H:$H,"2024-06",Extrato_Importado!$B:$B,"Web Services Expenses",Extrato_Importado!$C:$C,"*AWS SES*")</f>
        <v/>
      </c>
      <c r="E52" s="11">
        <f>SUMIFS(Extrato_Importado!$E:$E,Extrato_Importado!$H:$H,"2024-07",Extrato_Importado!$B:$B,"Web Services Expenses",Extrato_Importado!$C:$C,"*AWS SES*")</f>
        <v/>
      </c>
      <c r="F52" s="11">
        <f>SUMIFS(Extrato_Importado!$E:$E,Extrato_Importado!$H:$H,"2024-08",Extrato_Importado!$B:$B,"Web Services Expenses",Extrato_Importado!$C:$C,"*AWS SES*")</f>
        <v/>
      </c>
      <c r="G52" s="11">
        <f>SUMIFS(Extrato_Importado!$E:$E,Extrato_Importado!$H:$H,"2024-09",Extrato_Importado!$B:$B,"Web Services Expenses",Extrato_Importado!$C:$C,"*AWS SES*")</f>
        <v/>
      </c>
      <c r="H52" s="11">
        <f>SUMIFS(Extrato_Importado!$E:$E,Extrato_Importado!$H:$H,"2024-10",Extrato_Importado!$B:$B,"Web Services Expenses",Extrato_Importado!$C:$C,"*AWS SES*")</f>
        <v/>
      </c>
      <c r="I52" s="11">
        <f>SUMIFS(Extrato_Importado!$E:$E,Extrato_Importado!$H:$H,"2024-11",Extrato_Importado!$B:$B,"Web Services Expenses",Extrato_Importado!$C:$C,"*AWS SES*")</f>
        <v/>
      </c>
      <c r="J52" s="11">
        <f>SUMIFS(Extrato_Importado!$E:$E,Extrato_Importado!$H:$H,"2024-12",Extrato_Importado!$B:$B,"Web Services Expenses",Extrato_Importado!$C:$C,"*AWS SES*")</f>
        <v/>
      </c>
      <c r="K52" s="11">
        <f>SUMIFS(Extrato_Importado!$E:$E,Extrato_Importado!$H:$H,"2025-01",Extrato_Importado!$B:$B,"Web Services Expenses",Extrato_Importado!$C:$C,"*AWS SES*")</f>
        <v/>
      </c>
      <c r="L52" s="11">
        <f>SUMIFS(Extrato_Importado!$E:$E,Extrato_Importado!$H:$H,"2025-02",Extrato_Importado!$B:$B,"Web Services Expenses",Extrato_Importado!$C:$C,"*AWS SES*")</f>
        <v/>
      </c>
      <c r="M52" s="11">
        <f>SUMIFS(Extrato_Importado!$E:$E,Extrato_Importado!$H:$H,"2025-03",Extrato_Importado!$B:$B,"Web Services Expenses",Extrato_Importado!$C:$C,"*AWS SES*")</f>
        <v/>
      </c>
      <c r="N52" s="11">
        <f>SUMIFS(Extrato_Importado!$E:$E,Extrato_Importado!$H:$H,"2025-04",Extrato_Importado!$B:$B,"Web Services Expenses",Extrato_Importado!$C:$C,"*AWS SES*")</f>
        <v/>
      </c>
      <c r="O52" s="11">
        <f>SUMIFS(Extrato_Importado!$E:$E,Extrato_Importado!$H:$H,"2025-05",Extrato_Importado!$B:$B,"Web Services Expenses",Extrato_Importado!$C:$C,"*AWS SES*")</f>
        <v/>
      </c>
      <c r="P52" s="11">
        <f>SUMIFS(Extrato_Importado!$E:$E,Extrato_Importado!$H:$H,"2025-06",Extrato_Importado!$B:$B,"Web Services Expenses",Extrato_Importado!$C:$C,"*AWS SES*")</f>
        <v/>
      </c>
      <c r="Q52" s="11">
        <f>SUMIFS(Extrato_Importado!$E:$E,Extrato_Importado!$H:$H,"2025-07",Extrato_Importado!$B:$B,"Web Services Expenses",Extrato_Importado!$C:$C,"*AWS SES*")</f>
        <v/>
      </c>
      <c r="R52" s="11">
        <f>SUMIFS(Extrato_Importado!$E:$E,Extrato_Importado!$H:$H,"2025-08",Extrato_Importado!$B:$B,"Web Services Expenses",Extrato_Importado!$C:$C,"*AWS SES*")</f>
        <v/>
      </c>
      <c r="S52" s="11">
        <f>SUMIFS(Extrato_Importado!$E:$E,Extrato_Importado!$H:$H,"2025-09",Extrato_Importado!$B:$B,"Web Services Expenses",Extrato_Importado!$C:$C,"*AWS SES*")</f>
        <v/>
      </c>
      <c r="T52" s="11">
        <f>SUMIFS(Extrato_Importado!$E:$E,Extrato_Importado!$H:$H,"2025-10",Extrato_Importado!$B:$B,"Web Services Expenses",Extrato_Importado!$C:$C,"*AWS SES*")</f>
        <v/>
      </c>
    </row>
    <row r="54">
      <c r="A54" s="14" t="inlineStr">
        <is>
          <t>Gross Profit</t>
        </is>
      </c>
      <c r="B54" s="3" t="inlineStr">
        <is>
          <t>BRL</t>
        </is>
      </c>
      <c r="C54" s="9">
        <f>C24-C44</f>
        <v/>
      </c>
      <c r="D54" s="9">
        <f>D24-D44</f>
        <v/>
      </c>
      <c r="E54" s="9">
        <f>E24-E44</f>
        <v/>
      </c>
      <c r="F54" s="9">
        <f>F24-F44</f>
        <v/>
      </c>
      <c r="G54" s="9">
        <f>G24-G44</f>
        <v/>
      </c>
      <c r="H54" s="9">
        <f>H24-H44</f>
        <v/>
      </c>
      <c r="I54" s="9">
        <f>I24-I44</f>
        <v/>
      </c>
      <c r="J54" s="9">
        <f>J24-J44</f>
        <v/>
      </c>
      <c r="K54" s="9">
        <f>K24-K44</f>
        <v/>
      </c>
      <c r="L54" s="9">
        <f>L24-L44</f>
        <v/>
      </c>
      <c r="M54" s="9">
        <f>M24-M44</f>
        <v/>
      </c>
      <c r="N54" s="9">
        <f>N24-N44</f>
        <v/>
      </c>
      <c r="O54" s="9">
        <f>O24-O44</f>
        <v/>
      </c>
      <c r="P54" s="9">
        <f>P24-P44</f>
        <v/>
      </c>
      <c r="Q54" s="9">
        <f>Q24-Q44</f>
        <v/>
      </c>
      <c r="R54" s="9">
        <f>R24-R44</f>
        <v/>
      </c>
      <c r="S54" s="9">
        <f>S24-S44</f>
        <v/>
      </c>
      <c r="T54" s="9">
        <f>T24-T44</f>
        <v/>
      </c>
    </row>
    <row r="55">
      <c r="A55" s="8" t="inlineStr">
        <is>
          <t xml:space="preserve">     Gross Margin</t>
        </is>
      </c>
      <c r="B55" s="3" t="inlineStr">
        <is>
          <t>%</t>
        </is>
      </c>
      <c r="C55" s="12">
        <f>IFERROR(C54/C24,0)</f>
        <v/>
      </c>
      <c r="D55" s="12">
        <f>IFERROR(D54/D24,0)</f>
        <v/>
      </c>
      <c r="E55" s="12">
        <f>IFERROR(E54/E24,0)</f>
        <v/>
      </c>
      <c r="F55" s="12">
        <f>IFERROR(F54/F24,0)</f>
        <v/>
      </c>
      <c r="G55" s="12">
        <f>IFERROR(G54/G24,0)</f>
        <v/>
      </c>
      <c r="H55" s="12">
        <f>IFERROR(H54/H24,0)</f>
        <v/>
      </c>
      <c r="I55" s="12">
        <f>IFERROR(I54/I24,0)</f>
        <v/>
      </c>
      <c r="J55" s="12">
        <f>IFERROR(J54/J24,0)</f>
        <v/>
      </c>
      <c r="K55" s="12">
        <f>IFERROR(K54/K24,0)</f>
        <v/>
      </c>
      <c r="L55" s="12">
        <f>IFERROR(L54/L24,0)</f>
        <v/>
      </c>
      <c r="M55" s="12">
        <f>IFERROR(M54/M24,0)</f>
        <v/>
      </c>
      <c r="N55" s="12">
        <f>IFERROR(N54/N24,0)</f>
        <v/>
      </c>
      <c r="O55" s="12">
        <f>IFERROR(O54/O24,0)</f>
        <v/>
      </c>
      <c r="P55" s="12">
        <f>IFERROR(P54/P24,0)</f>
        <v/>
      </c>
      <c r="Q55" s="12">
        <f>IFERROR(Q54/Q24,0)</f>
        <v/>
      </c>
      <c r="R55" s="12">
        <f>IFERROR(R54/R24,0)</f>
        <v/>
      </c>
      <c r="S55" s="12">
        <f>IFERROR(S54/S24,0)</f>
        <v/>
      </c>
      <c r="T55" s="12">
        <f>IFERROR(T54/T24,0)</f>
        <v/>
      </c>
    </row>
    <row r="57">
      <c r="A57" s="13" t="inlineStr">
        <is>
          <t>Operating Expenses (Despesas Administrativas e Vendas Gerais)</t>
        </is>
      </c>
      <c r="B57" s="3" t="inlineStr">
        <is>
          <t>BRL</t>
        </is>
      </c>
      <c r="C57" s="9">
        <f>C58+C59</f>
        <v/>
      </c>
      <c r="D57" s="9">
        <f>D58+D59</f>
        <v/>
      </c>
      <c r="E57" s="9">
        <f>E58+E59</f>
        <v/>
      </c>
      <c r="F57" s="9">
        <f>F58+F59</f>
        <v/>
      </c>
      <c r="G57" s="9">
        <f>G58+G59</f>
        <v/>
      </c>
      <c r="H57" s="9">
        <f>H58+H59</f>
        <v/>
      </c>
      <c r="I57" s="9">
        <f>I58+I59</f>
        <v/>
      </c>
      <c r="J57" s="9">
        <f>J58+J59</f>
        <v/>
      </c>
      <c r="K57" s="9">
        <f>K58+K59</f>
        <v/>
      </c>
      <c r="L57" s="9">
        <f>L58+L59</f>
        <v/>
      </c>
      <c r="M57" s="9">
        <f>M58+M59</f>
        <v/>
      </c>
      <c r="N57" s="9">
        <f>N58+N59</f>
        <v/>
      </c>
      <c r="O57" s="9">
        <f>O58+O59</f>
        <v/>
      </c>
      <c r="P57" s="9">
        <f>P58+P59</f>
        <v/>
      </c>
      <c r="Q57" s="9">
        <f>Q58+Q59</f>
        <v/>
      </c>
      <c r="R57" s="9">
        <f>R58+R59</f>
        <v/>
      </c>
      <c r="S57" s="9">
        <f>S58+S59</f>
        <v/>
      </c>
      <c r="T57" s="9">
        <f>T58+T59</f>
        <v/>
      </c>
    </row>
    <row r="58">
      <c r="A58" s="13" t="inlineStr">
        <is>
          <t>R&amp;D</t>
        </is>
      </c>
      <c r="B58" s="3" t="inlineStr">
        <is>
          <t>BRL</t>
        </is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</row>
    <row r="59">
      <c r="A59" s="13" t="inlineStr">
        <is>
          <t>SG&amp;A</t>
        </is>
      </c>
      <c r="B59" s="3" t="inlineStr">
        <is>
          <t>BRL</t>
        </is>
      </c>
      <c r="C59" s="9">
        <f>C60+C68+C69</f>
        <v/>
      </c>
      <c r="D59" s="9">
        <f>D60+D68+D69</f>
        <v/>
      </c>
      <c r="E59" s="9">
        <f>E60+E68+E69</f>
        <v/>
      </c>
      <c r="F59" s="9">
        <f>F60+F68+F69</f>
        <v/>
      </c>
      <c r="G59" s="9">
        <f>G60+G68+G69</f>
        <v/>
      </c>
      <c r="H59" s="9">
        <f>H60+H68+H69</f>
        <v/>
      </c>
      <c r="I59" s="9">
        <f>I60+I68+I69</f>
        <v/>
      </c>
      <c r="J59" s="9">
        <f>J60+J68+J69</f>
        <v/>
      </c>
      <c r="K59" s="9">
        <f>K60+K68+K69</f>
        <v/>
      </c>
      <c r="L59" s="9">
        <f>L60+L68+L69</f>
        <v/>
      </c>
      <c r="M59" s="9">
        <f>M60+M68+M69</f>
        <v/>
      </c>
      <c r="N59" s="9">
        <f>N60+N68+N69</f>
        <v/>
      </c>
      <c r="O59" s="9">
        <f>O60+O68+O69</f>
        <v/>
      </c>
      <c r="P59" s="9">
        <f>P60+P68+P69</f>
        <v/>
      </c>
      <c r="Q59" s="9">
        <f>Q60+Q68+Q69</f>
        <v/>
      </c>
      <c r="R59" s="9">
        <f>R60+R68+R69</f>
        <v/>
      </c>
      <c r="S59" s="9">
        <f>S60+S68+S69</f>
        <v/>
      </c>
      <c r="T59" s="9">
        <f>T60+T68+T69</f>
        <v/>
      </c>
    </row>
    <row r="60">
      <c r="A60" s="8" t="inlineStr">
        <is>
          <t xml:space="preserve">     Marketing</t>
        </is>
      </c>
      <c r="B60" s="3" t="inlineStr">
        <is>
          <t>BRL</t>
        </is>
      </c>
      <c r="C60" s="11">
        <f>SUMIFS(Extrato_Importado!$E:$E,Extrato_Importado!$H:$H,"2024-05",Extrato_Importado!$B:$B,"Marketing &amp; Growth Expenses")</f>
        <v/>
      </c>
      <c r="D60" s="11">
        <f>SUMIFS(Extrato_Importado!$E:$E,Extrato_Importado!$H:$H,"2024-06",Extrato_Importado!$B:$B,"Marketing &amp; Growth Expenses")</f>
        <v/>
      </c>
      <c r="E60" s="11">
        <f>SUMIFS(Extrato_Importado!$E:$E,Extrato_Importado!$H:$H,"2024-07",Extrato_Importado!$B:$B,"Marketing &amp; Growth Expenses")</f>
        <v/>
      </c>
      <c r="F60" s="11">
        <f>SUMIFS(Extrato_Importado!$E:$E,Extrato_Importado!$H:$H,"2024-08",Extrato_Importado!$B:$B,"Marketing &amp; Growth Expenses")</f>
        <v/>
      </c>
      <c r="G60" s="11">
        <f>SUMIFS(Extrato_Importado!$E:$E,Extrato_Importado!$H:$H,"2024-09",Extrato_Importado!$B:$B,"Marketing &amp; Growth Expenses")</f>
        <v/>
      </c>
      <c r="H60" s="11">
        <f>SUMIFS(Extrato_Importado!$E:$E,Extrato_Importado!$H:$H,"2024-10",Extrato_Importado!$B:$B,"Marketing &amp; Growth Expenses")</f>
        <v/>
      </c>
      <c r="I60" s="11">
        <f>SUMIFS(Extrato_Importado!$E:$E,Extrato_Importado!$H:$H,"2024-11",Extrato_Importado!$B:$B,"Marketing &amp; Growth Expenses")</f>
        <v/>
      </c>
      <c r="J60" s="11">
        <f>SUMIFS(Extrato_Importado!$E:$E,Extrato_Importado!$H:$H,"2024-12",Extrato_Importado!$B:$B,"Marketing &amp; Growth Expenses")</f>
        <v/>
      </c>
      <c r="K60" s="11">
        <f>SUMIFS(Extrato_Importado!$E:$E,Extrato_Importado!$H:$H,"2025-01",Extrato_Importado!$B:$B,"Marketing &amp; Growth Expenses")</f>
        <v/>
      </c>
      <c r="L60" s="11">
        <f>SUMIFS(Extrato_Importado!$E:$E,Extrato_Importado!$H:$H,"2025-02",Extrato_Importado!$B:$B,"Marketing &amp; Growth Expenses")</f>
        <v/>
      </c>
      <c r="M60" s="11">
        <f>SUMIFS(Extrato_Importado!$E:$E,Extrato_Importado!$H:$H,"2025-03",Extrato_Importado!$B:$B,"Marketing &amp; Growth Expenses")</f>
        <v/>
      </c>
      <c r="N60" s="11">
        <f>SUMIFS(Extrato_Importado!$E:$E,Extrato_Importado!$H:$H,"2025-04",Extrato_Importado!$B:$B,"Marketing &amp; Growth Expenses")</f>
        <v/>
      </c>
      <c r="O60" s="11">
        <f>SUMIFS(Extrato_Importado!$E:$E,Extrato_Importado!$H:$H,"2025-05",Extrato_Importado!$B:$B,"Marketing &amp; Growth Expenses")</f>
        <v/>
      </c>
      <c r="P60" s="11">
        <f>SUMIFS(Extrato_Importado!$E:$E,Extrato_Importado!$H:$H,"2025-06",Extrato_Importado!$B:$B,"Marketing &amp; Growth Expenses")</f>
        <v/>
      </c>
      <c r="Q60" s="11">
        <f>SUMIFS(Extrato_Importado!$E:$E,Extrato_Importado!$H:$H,"2025-07",Extrato_Importado!$B:$B,"Marketing &amp; Growth Expenses")</f>
        <v/>
      </c>
      <c r="R60" s="11">
        <f>SUMIFS(Extrato_Importado!$E:$E,Extrato_Importado!$H:$H,"2025-08",Extrato_Importado!$B:$B,"Marketing &amp; Growth Expenses")</f>
        <v/>
      </c>
      <c r="S60" s="11">
        <f>SUMIFS(Extrato_Importado!$E:$E,Extrato_Importado!$H:$H,"2025-09",Extrato_Importado!$B:$B,"Marketing &amp; Growth Expenses")</f>
        <v/>
      </c>
      <c r="T60" s="11">
        <f>SUMIFS(Extrato_Importado!$E:$E,Extrato_Importado!$H:$H,"2025-10",Extrato_Importado!$B:$B,"Marketing &amp; Growth Expenses")</f>
        <v/>
      </c>
    </row>
    <row r="61">
      <c r="A61" s="3" t="inlineStr">
        <is>
          <t xml:space="preserve">          Marketing/Revenue no Tax</t>
        </is>
      </c>
      <c r="B61" s="3" t="inlineStr">
        <is>
          <t>%</t>
        </is>
      </c>
      <c r="C61" s="12">
        <f>IFERROR(C60/C25,0)</f>
        <v/>
      </c>
      <c r="D61" s="12">
        <f>IFERROR(D60/D25,0)</f>
        <v/>
      </c>
      <c r="E61" s="12">
        <f>IFERROR(E60/E25,0)</f>
        <v/>
      </c>
      <c r="F61" s="12">
        <f>IFERROR(F60/F25,0)</f>
        <v/>
      </c>
      <c r="G61" s="12">
        <f>IFERROR(G60/G25,0)</f>
        <v/>
      </c>
      <c r="H61" s="12">
        <f>IFERROR(H60/H25,0)</f>
        <v/>
      </c>
      <c r="I61" s="12">
        <f>IFERROR(I60/I25,0)</f>
        <v/>
      </c>
      <c r="J61" s="12">
        <f>IFERROR(J60/J25,0)</f>
        <v/>
      </c>
      <c r="K61" s="12">
        <f>IFERROR(K60/K25,0)</f>
        <v/>
      </c>
      <c r="L61" s="12">
        <f>IFERROR(L60/L25,0)</f>
        <v/>
      </c>
      <c r="M61" s="12">
        <f>IFERROR(M60/M25,0)</f>
        <v/>
      </c>
      <c r="N61" s="12">
        <f>IFERROR(N60/N25,0)</f>
        <v/>
      </c>
      <c r="O61" s="12">
        <f>IFERROR(O60/O25,0)</f>
        <v/>
      </c>
      <c r="P61" s="12">
        <f>IFERROR(P60/P25,0)</f>
        <v/>
      </c>
      <c r="Q61" s="12">
        <f>IFERROR(Q60/Q25,0)</f>
        <v/>
      </c>
      <c r="R61" s="12">
        <f>IFERROR(R60/R25,0)</f>
        <v/>
      </c>
      <c r="S61" s="12">
        <f>IFERROR(S60/S25,0)</f>
        <v/>
      </c>
      <c r="T61" s="12">
        <f>IFERROR(T60/T25,0)</f>
        <v/>
      </c>
    </row>
    <row r="62">
      <c r="A62" s="3" t="inlineStr">
        <is>
          <t xml:space="preserve">          EaM - BR</t>
        </is>
      </c>
      <c r="B62" s="3" t="inlineStr">
        <is>
          <t>BRL</t>
        </is>
      </c>
      <c r="C62" s="11" t="n">
        <v>0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</row>
    <row r="63">
      <c r="A63" s="3" t="inlineStr">
        <is>
          <t xml:space="preserve">          EaM - US</t>
        </is>
      </c>
      <c r="B63" s="3" t="inlineStr">
        <is>
          <t>BRL</t>
        </is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</row>
    <row r="64">
      <c r="A64" s="3" t="inlineStr">
        <is>
          <t xml:space="preserve">          Affiliates &amp; Events</t>
        </is>
      </c>
      <c r="B64" s="3" t="inlineStr">
        <is>
          <t>BRL</t>
        </is>
      </c>
      <c r="C64" s="11" t="n">
        <v>0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</row>
    <row r="65">
      <c r="A65" s="3" t="inlineStr">
        <is>
          <t xml:space="preserve">          Google Ads</t>
        </is>
      </c>
      <c r="B65" s="3" t="inlineStr">
        <is>
          <t>BRL</t>
        </is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</row>
    <row r="66">
      <c r="A66" s="3" t="inlineStr">
        <is>
          <t xml:space="preserve">          Apple Search Ads (ASA)</t>
        </is>
      </c>
      <c r="B66" s="3" t="inlineStr">
        <is>
          <t>BRL</t>
        </is>
      </c>
      <c r="C66" s="11" t="n">
        <v>0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</row>
    <row r="67">
      <c r="A67" s="3" t="inlineStr">
        <is>
          <t xml:space="preserve">          Meta Ads</t>
        </is>
      </c>
      <c r="B67" s="3" t="inlineStr">
        <is>
          <t>BRL</t>
        </is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</row>
    <row r="68">
      <c r="A68" s="8" t="inlineStr">
        <is>
          <t xml:space="preserve">     Wages</t>
        </is>
      </c>
      <c r="B68" s="3" t="inlineStr">
        <is>
          <t>BRL</t>
        </is>
      </c>
      <c r="C68" s="11">
        <f>SUMIFS(Extrato_Importado!$E:$E,Extrato_Importado!$H:$H,"2024-05",Extrato_Importado!$B:$B,"Wages Expenses")</f>
        <v/>
      </c>
      <c r="D68" s="11">
        <f>SUMIFS(Extrato_Importado!$E:$E,Extrato_Importado!$H:$H,"2024-06",Extrato_Importado!$B:$B,"Wages Expenses")</f>
        <v/>
      </c>
      <c r="E68" s="11">
        <f>SUMIFS(Extrato_Importado!$E:$E,Extrato_Importado!$H:$H,"2024-07",Extrato_Importado!$B:$B,"Wages Expenses")</f>
        <v/>
      </c>
      <c r="F68" s="11">
        <f>SUMIFS(Extrato_Importado!$E:$E,Extrato_Importado!$H:$H,"2024-08",Extrato_Importado!$B:$B,"Wages Expenses")</f>
        <v/>
      </c>
      <c r="G68" s="11">
        <f>SUMIFS(Extrato_Importado!$E:$E,Extrato_Importado!$H:$H,"2024-09",Extrato_Importado!$B:$B,"Wages Expenses")</f>
        <v/>
      </c>
      <c r="H68" s="11">
        <f>SUMIFS(Extrato_Importado!$E:$E,Extrato_Importado!$H:$H,"2024-10",Extrato_Importado!$B:$B,"Wages Expenses")</f>
        <v/>
      </c>
      <c r="I68" s="11">
        <f>SUMIFS(Extrato_Importado!$E:$E,Extrato_Importado!$H:$H,"2024-11",Extrato_Importado!$B:$B,"Wages Expenses")</f>
        <v/>
      </c>
      <c r="J68" s="11">
        <f>SUMIFS(Extrato_Importado!$E:$E,Extrato_Importado!$H:$H,"2024-12",Extrato_Importado!$B:$B,"Wages Expenses")</f>
        <v/>
      </c>
      <c r="K68" s="11">
        <f>SUMIFS(Extrato_Importado!$E:$E,Extrato_Importado!$H:$H,"2025-01",Extrato_Importado!$B:$B,"Wages Expenses")</f>
        <v/>
      </c>
      <c r="L68" s="11">
        <f>SUMIFS(Extrato_Importado!$E:$E,Extrato_Importado!$H:$H,"2025-02",Extrato_Importado!$B:$B,"Wages Expenses")</f>
        <v/>
      </c>
      <c r="M68" s="11">
        <f>SUMIFS(Extrato_Importado!$E:$E,Extrato_Importado!$H:$H,"2025-03",Extrato_Importado!$B:$B,"Wages Expenses")</f>
        <v/>
      </c>
      <c r="N68" s="11">
        <f>SUMIFS(Extrato_Importado!$E:$E,Extrato_Importado!$H:$H,"2025-04",Extrato_Importado!$B:$B,"Wages Expenses")</f>
        <v/>
      </c>
      <c r="O68" s="11">
        <f>SUMIFS(Extrato_Importado!$E:$E,Extrato_Importado!$H:$H,"2025-05",Extrato_Importado!$B:$B,"Wages Expenses")</f>
        <v/>
      </c>
      <c r="P68" s="11">
        <f>SUMIFS(Extrato_Importado!$E:$E,Extrato_Importado!$H:$H,"2025-06",Extrato_Importado!$B:$B,"Wages Expenses")</f>
        <v/>
      </c>
      <c r="Q68" s="11">
        <f>SUMIFS(Extrato_Importado!$E:$E,Extrato_Importado!$H:$H,"2025-07",Extrato_Importado!$B:$B,"Wages Expenses")</f>
        <v/>
      </c>
      <c r="R68" s="11">
        <f>SUMIFS(Extrato_Importado!$E:$E,Extrato_Importado!$H:$H,"2025-08",Extrato_Importado!$B:$B,"Wages Expenses")</f>
        <v/>
      </c>
      <c r="S68" s="11">
        <f>SUMIFS(Extrato_Importado!$E:$E,Extrato_Importado!$H:$H,"2025-09",Extrato_Importado!$B:$B,"Wages Expenses")</f>
        <v/>
      </c>
      <c r="T68" s="11">
        <f>SUMIFS(Extrato_Importado!$E:$E,Extrato_Importado!$H:$H,"2025-10",Extrato_Importado!$B:$B,"Wages Expenses")</f>
        <v/>
      </c>
    </row>
    <row r="69">
      <c r="A69" s="8" t="inlineStr">
        <is>
          <t xml:space="preserve">     Tech Support &amp; Services</t>
        </is>
      </c>
      <c r="B69" s="3" t="inlineStr">
        <is>
          <t>BRL</t>
        </is>
      </c>
      <c r="C69" s="9">
        <f>SUMIFS(Extrato_Importado!$E:$E,Extrato_Importado!$H:$H,"2024-05",Extrato_Importado!$B:$B,"Tech Support &amp; Services")</f>
        <v/>
      </c>
      <c r="D69" s="9">
        <f>SUMIFS(Extrato_Importado!$E:$E,Extrato_Importado!$H:$H,"2024-06",Extrato_Importado!$B:$B,"Tech Support &amp; Services")</f>
        <v/>
      </c>
      <c r="E69" s="9">
        <f>SUMIFS(Extrato_Importado!$E:$E,Extrato_Importado!$H:$H,"2024-07",Extrato_Importado!$B:$B,"Tech Support &amp; Services")</f>
        <v/>
      </c>
      <c r="F69" s="9">
        <f>SUMIFS(Extrato_Importado!$E:$E,Extrato_Importado!$H:$H,"2024-08",Extrato_Importado!$B:$B,"Tech Support &amp; Services")</f>
        <v/>
      </c>
      <c r="G69" s="9">
        <f>SUMIFS(Extrato_Importado!$E:$E,Extrato_Importado!$H:$H,"2024-09",Extrato_Importado!$B:$B,"Tech Support &amp; Services")</f>
        <v/>
      </c>
      <c r="H69" s="9">
        <f>SUMIFS(Extrato_Importado!$E:$E,Extrato_Importado!$H:$H,"2024-10",Extrato_Importado!$B:$B,"Tech Support &amp; Services")</f>
        <v/>
      </c>
      <c r="I69" s="9">
        <f>SUMIFS(Extrato_Importado!$E:$E,Extrato_Importado!$H:$H,"2024-11",Extrato_Importado!$B:$B,"Tech Support &amp; Services")</f>
        <v/>
      </c>
      <c r="J69" s="9">
        <f>SUMIFS(Extrato_Importado!$E:$E,Extrato_Importado!$H:$H,"2024-12",Extrato_Importado!$B:$B,"Tech Support &amp; Services")</f>
        <v/>
      </c>
      <c r="K69" s="9">
        <f>SUMIFS(Extrato_Importado!$E:$E,Extrato_Importado!$H:$H,"2025-01",Extrato_Importado!$B:$B,"Tech Support &amp; Services")</f>
        <v/>
      </c>
      <c r="L69" s="9">
        <f>SUMIFS(Extrato_Importado!$E:$E,Extrato_Importado!$H:$H,"2025-02",Extrato_Importado!$B:$B,"Tech Support &amp; Services")</f>
        <v/>
      </c>
      <c r="M69" s="9">
        <f>SUMIFS(Extrato_Importado!$E:$E,Extrato_Importado!$H:$H,"2025-03",Extrato_Importado!$B:$B,"Tech Support &amp; Services")</f>
        <v/>
      </c>
      <c r="N69" s="9">
        <f>SUMIFS(Extrato_Importado!$E:$E,Extrato_Importado!$H:$H,"2025-04",Extrato_Importado!$B:$B,"Tech Support &amp; Services")</f>
        <v/>
      </c>
      <c r="O69" s="9">
        <f>SUMIFS(Extrato_Importado!$E:$E,Extrato_Importado!$H:$H,"2025-05",Extrato_Importado!$B:$B,"Tech Support &amp; Services")</f>
        <v/>
      </c>
      <c r="P69" s="9">
        <f>SUMIFS(Extrato_Importado!$E:$E,Extrato_Importado!$H:$H,"2025-06",Extrato_Importado!$B:$B,"Tech Support &amp; Services")</f>
        <v/>
      </c>
      <c r="Q69" s="9">
        <f>SUMIFS(Extrato_Importado!$E:$E,Extrato_Importado!$H:$H,"2025-07",Extrato_Importado!$B:$B,"Tech Support &amp; Services")</f>
        <v/>
      </c>
      <c r="R69" s="9">
        <f>SUMIFS(Extrato_Importado!$E:$E,Extrato_Importado!$H:$H,"2025-08",Extrato_Importado!$B:$B,"Tech Support &amp; Services")</f>
        <v/>
      </c>
      <c r="S69" s="9">
        <f>SUMIFS(Extrato_Importado!$E:$E,Extrato_Importado!$H:$H,"2025-09",Extrato_Importado!$B:$B,"Tech Support &amp; Services")</f>
        <v/>
      </c>
      <c r="T69" s="9">
        <f>SUMIFS(Extrato_Importado!$E:$E,Extrato_Importado!$H:$H,"2025-10",Extrato_Importado!$B:$B,"Tech Support &amp; Services")</f>
        <v/>
      </c>
    </row>
    <row r="70">
      <c r="A70" s="3" t="inlineStr">
        <is>
          <t xml:space="preserve">          Conta Azul</t>
        </is>
      </c>
      <c r="B70" s="3" t="inlineStr">
        <is>
          <t>BRL</t>
        </is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</row>
    <row r="71">
      <c r="A71" s="3" t="inlineStr">
        <is>
          <t xml:space="preserve">          G Suite</t>
        </is>
      </c>
      <c r="B71" s="3" t="inlineStr">
        <is>
          <t>BRL</t>
        </is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</row>
    <row r="72">
      <c r="A72" s="3" t="inlineStr">
        <is>
          <t xml:space="preserve">          Adobe Creative Cloud</t>
        </is>
      </c>
      <c r="B72" s="3" t="inlineStr">
        <is>
          <t>BRL</t>
        </is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</row>
    <row r="73"/>
    <row r="74">
      <c r="A74" s="15" t="inlineStr">
        <is>
          <t>EBITDA</t>
        </is>
      </c>
      <c r="B74" t="inlineStr">
        <is>
          <t>BRL</t>
        </is>
      </c>
      <c r="C74" s="16">
        <f>C54-C57</f>
        <v/>
      </c>
      <c r="D74" s="16">
        <f>D54-D57</f>
        <v/>
      </c>
      <c r="E74" s="16">
        <f>E54-E57</f>
        <v/>
      </c>
      <c r="F74" s="16">
        <f>F54-F57</f>
        <v/>
      </c>
      <c r="G74" s="16">
        <f>G54-G57</f>
        <v/>
      </c>
      <c r="H74" s="16">
        <f>H54-H57</f>
        <v/>
      </c>
      <c r="I74" s="16">
        <f>I54-I57</f>
        <v/>
      </c>
      <c r="J74" s="16">
        <f>J54-J57</f>
        <v/>
      </c>
      <c r="K74" s="16">
        <f>K54-K57</f>
        <v/>
      </c>
      <c r="L74" s="16">
        <f>L54-L57</f>
        <v/>
      </c>
      <c r="M74" s="16">
        <f>M54-M57</f>
        <v/>
      </c>
      <c r="N74" s="16">
        <f>N54-N57</f>
        <v/>
      </c>
      <c r="O74" s="16">
        <f>O54-O57</f>
        <v/>
      </c>
      <c r="P74" s="16">
        <f>P54-P57</f>
        <v/>
      </c>
      <c r="Q74" s="16">
        <f>Q54-Q57</f>
        <v/>
      </c>
      <c r="R74" s="16">
        <f>R54-R57</f>
        <v/>
      </c>
      <c r="S74" s="16">
        <f>S54-S57</f>
        <v/>
      </c>
      <c r="T74" s="16">
        <f>T54-T57</f>
        <v/>
      </c>
    </row>
    <row r="75">
      <c r="A75" s="15" t="inlineStr">
        <is>
          <t>Operating Income (EBIT)</t>
        </is>
      </c>
      <c r="B75" t="inlineStr">
        <is>
          <t>BRL</t>
        </is>
      </c>
      <c r="C75" s="16">
        <f>C74</f>
        <v/>
      </c>
      <c r="D75" s="16">
        <f>D74</f>
        <v/>
      </c>
      <c r="E75" s="16">
        <f>E74</f>
        <v/>
      </c>
      <c r="F75" s="16">
        <f>F74</f>
        <v/>
      </c>
      <c r="G75" s="16">
        <f>G74</f>
        <v/>
      </c>
      <c r="H75" s="16">
        <f>H74</f>
        <v/>
      </c>
      <c r="I75" s="16">
        <f>I74</f>
        <v/>
      </c>
      <c r="J75" s="16">
        <f>J74</f>
        <v/>
      </c>
      <c r="K75" s="16">
        <f>K74</f>
        <v/>
      </c>
      <c r="L75" s="16">
        <f>L74</f>
        <v/>
      </c>
      <c r="M75" s="16">
        <f>M74</f>
        <v/>
      </c>
      <c r="N75" s="16">
        <f>N74</f>
        <v/>
      </c>
      <c r="O75" s="16">
        <f>O74</f>
        <v/>
      </c>
      <c r="P75" s="16">
        <f>P74</f>
        <v/>
      </c>
      <c r="Q75" s="16">
        <f>Q74</f>
        <v/>
      </c>
      <c r="R75" s="16">
        <f>R74</f>
        <v/>
      </c>
      <c r="S75" s="16">
        <f>S74</f>
        <v/>
      </c>
      <c r="T75" s="16">
        <f>T74</f>
        <v/>
      </c>
    </row>
    <row r="76">
      <c r="A76" t="inlineStr">
        <is>
          <t xml:space="preserve">     EBITDA Margin</t>
        </is>
      </c>
      <c r="B76" t="inlineStr">
        <is>
          <t>%</t>
        </is>
      </c>
      <c r="C76" s="17">
        <f>IFERROR(C74/C24,0)</f>
        <v/>
      </c>
      <c r="D76" s="17">
        <f>IFERROR(D74/D24,0)</f>
        <v/>
      </c>
      <c r="E76" s="17">
        <f>IFERROR(E74/E24,0)</f>
        <v/>
      </c>
      <c r="F76" s="17">
        <f>IFERROR(F74/F24,0)</f>
        <v/>
      </c>
      <c r="G76" s="17">
        <f>IFERROR(G74/G24,0)</f>
        <v/>
      </c>
      <c r="H76" s="17">
        <f>IFERROR(H74/H24,0)</f>
        <v/>
      </c>
      <c r="I76" s="17">
        <f>IFERROR(I74/I24,0)</f>
        <v/>
      </c>
      <c r="J76" s="17">
        <f>IFERROR(J74/J24,0)</f>
        <v/>
      </c>
      <c r="K76" s="17">
        <f>IFERROR(K74/K24,0)</f>
        <v/>
      </c>
      <c r="L76" s="17">
        <f>IFERROR(L74/L24,0)</f>
        <v/>
      </c>
      <c r="M76" s="17">
        <f>IFERROR(M74/M24,0)</f>
        <v/>
      </c>
      <c r="N76" s="17">
        <f>IFERROR(N74/N24,0)</f>
        <v/>
      </c>
      <c r="O76" s="17">
        <f>IFERROR(O74/O24,0)</f>
        <v/>
      </c>
      <c r="P76" s="17">
        <f>IFERROR(P74/P24,0)</f>
        <v/>
      </c>
      <c r="Q76" s="17">
        <f>IFERROR(Q74/Q24,0)</f>
        <v/>
      </c>
      <c r="R76" s="17">
        <f>IFERROR(R74/R24,0)</f>
        <v/>
      </c>
      <c r="S76" s="17">
        <f>IFERROR(S74/S24,0)</f>
        <v/>
      </c>
      <c r="T76" s="17">
        <f>IFERROR(T74/T24,0)</f>
        <v/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2" customWidth="1" min="4" max="4"/>
    <col width="40" customWidth="1" min="5" max="5"/>
  </cols>
  <sheetData>
    <row r="1">
      <c r="A1" s="1" t="inlineStr">
        <is>
          <t>DADOS DE ENTRADA - BUSINESS PLAN UMATCH</t>
        </is>
      </c>
    </row>
    <row r="3">
      <c r="A3" s="2" t="inlineStr">
        <is>
          <t>Seção</t>
        </is>
      </c>
      <c r="B3" s="2" t="inlineStr">
        <is>
          <t>Parâmetro</t>
        </is>
      </c>
      <c r="C3" s="2" t="inlineStr">
        <is>
          <t>Valor</t>
        </is>
      </c>
      <c r="D3" s="2" t="inlineStr">
        <is>
          <t>Unidade</t>
        </is>
      </c>
      <c r="E3" s="2" t="inlineStr">
        <is>
          <t>Observações</t>
        </is>
      </c>
    </row>
    <row r="4">
      <c r="A4" s="3" t="inlineStr">
        <is>
          <t>Receita</t>
        </is>
      </c>
      <c r="B4" s="3" t="inlineStr">
        <is>
          <t>Taxa Apple/Google</t>
        </is>
      </c>
      <c r="C4" s="3" t="inlineStr">
        <is>
          <t>0.85</t>
        </is>
      </c>
      <c r="D4" s="3" t="inlineStr">
        <is>
          <t>%</t>
        </is>
      </c>
      <c r="E4" s="3" t="inlineStr">
        <is>
          <t>Receita líquida após desconto de 15%</t>
        </is>
      </c>
    </row>
    <row r="5">
      <c r="A5" s="3" t="inlineStr">
        <is>
          <t>Receita</t>
        </is>
      </c>
      <c r="B5" s="3" t="inlineStr">
        <is>
          <t>Receita Bruta = Líquida / 0.85</t>
        </is>
      </c>
      <c r="C5" s="3">
        <f>C4/C4</f>
        <v/>
      </c>
      <c r="D5" s="3" t="inlineStr">
        <is>
          <t>Fórmula</t>
        </is>
      </c>
      <c r="E5" s="3" t="inlineStr">
        <is>
          <t>Cálculo automático</t>
        </is>
      </c>
    </row>
    <row r="6">
      <c r="A6" s="3" t="inlineStr"/>
      <c r="B6" s="3" t="inlineStr"/>
      <c r="C6" s="4" t="inlineStr"/>
      <c r="D6" s="3" t="inlineStr"/>
      <c r="E6" s="3" t="inlineStr"/>
    </row>
    <row r="7">
      <c r="A7" s="3" t="inlineStr">
        <is>
          <t>Custos</t>
        </is>
      </c>
      <c r="B7" s="3" t="inlineStr">
        <is>
          <t>COGS - AWS</t>
        </is>
      </c>
      <c r="C7" s="4" t="inlineStr"/>
      <c r="D7" s="3" t="inlineStr">
        <is>
          <t>R$</t>
        </is>
      </c>
      <c r="E7" s="3" t="inlineStr">
        <is>
          <t>Custo AWS (editável)</t>
        </is>
      </c>
    </row>
    <row r="8">
      <c r="A8" s="3" t="inlineStr">
        <is>
          <t>Custos</t>
        </is>
      </c>
      <c r="B8" s="3" t="inlineStr">
        <is>
          <t>COGS - Cloudflare</t>
        </is>
      </c>
      <c r="C8" s="4" t="inlineStr"/>
      <c r="D8" s="3" t="inlineStr">
        <is>
          <t>R$</t>
        </is>
      </c>
      <c r="E8" s="3" t="inlineStr">
        <is>
          <t>Custo Cloudflare (editável)</t>
        </is>
      </c>
    </row>
    <row r="9">
      <c r="A9" s="3" t="inlineStr">
        <is>
          <t>Custos</t>
        </is>
      </c>
      <c r="B9" s="3" t="inlineStr">
        <is>
          <t>COGS - Heroku</t>
        </is>
      </c>
      <c r="C9" s="4" t="inlineStr"/>
      <c r="D9" s="3" t="inlineStr">
        <is>
          <t>R$</t>
        </is>
      </c>
      <c r="E9" s="3" t="inlineStr">
        <is>
          <t>Custo Heroku (editável)</t>
        </is>
      </c>
    </row>
    <row r="10">
      <c r="A10" s="3" t="inlineStr">
        <is>
          <t>Custos</t>
        </is>
      </c>
      <c r="B10" s="3" t="inlineStr">
        <is>
          <t>COGS - IAPHUB</t>
        </is>
      </c>
      <c r="C10" s="4" t="inlineStr"/>
      <c r="D10" s="3" t="inlineStr">
        <is>
          <t>R$</t>
        </is>
      </c>
      <c r="E10" s="3" t="inlineStr">
        <is>
          <t>Custo IAPHUB (editável)</t>
        </is>
      </c>
    </row>
    <row r="11">
      <c r="A11" s="3" t="inlineStr">
        <is>
          <t>Custos</t>
        </is>
      </c>
      <c r="B11" s="3" t="inlineStr">
        <is>
          <t>COGS - MailGun</t>
        </is>
      </c>
      <c r="C11" s="4" t="inlineStr"/>
      <c r="D11" s="3" t="inlineStr">
        <is>
          <t>R$</t>
        </is>
      </c>
      <c r="E11" s="3" t="inlineStr">
        <is>
          <t>Custo MailGun (editável)</t>
        </is>
      </c>
    </row>
    <row r="12">
      <c r="A12" s="3" t="inlineStr">
        <is>
          <t>Custos</t>
        </is>
      </c>
      <c r="B12" s="3" t="inlineStr">
        <is>
          <t>COGS - AWS SES</t>
        </is>
      </c>
      <c r="C12" s="4" t="inlineStr"/>
      <c r="D12" s="3" t="inlineStr">
        <is>
          <t>R$</t>
        </is>
      </c>
      <c r="E12" s="3" t="inlineStr">
        <is>
          <t>Custo AWS SES (editável)</t>
        </is>
      </c>
    </row>
    <row r="13">
      <c r="A13" s="3" t="inlineStr"/>
      <c r="B13" s="3" t="inlineStr"/>
      <c r="C13" s="4" t="inlineStr"/>
      <c r="D13" s="3" t="inlineStr"/>
      <c r="E13" s="3" t="inlineStr"/>
    </row>
    <row r="14">
      <c r="A14" s="3" t="inlineStr">
        <is>
          <t>SG&amp;A</t>
        </is>
      </c>
      <c r="B14" s="3" t="inlineStr">
        <is>
          <t>Marketing</t>
        </is>
      </c>
      <c r="C14" s="4" t="inlineStr"/>
      <c r="D14" s="3" t="inlineStr">
        <is>
          <t>R$</t>
        </is>
      </c>
      <c r="E14" s="3" t="inlineStr">
        <is>
          <t>Despesas de Marketing (editável)</t>
        </is>
      </c>
    </row>
    <row r="15">
      <c r="A15" s="3" t="inlineStr">
        <is>
          <t>SG&amp;A</t>
        </is>
      </c>
      <c r="B15" s="3" t="inlineStr">
        <is>
          <t>Wages</t>
        </is>
      </c>
      <c r="C15" s="4" t="inlineStr"/>
      <c r="D15" s="3" t="inlineStr">
        <is>
          <t>R$</t>
        </is>
      </c>
      <c r="E15" s="3" t="inlineStr">
        <is>
          <t>Salários e Pró-labore (editável)</t>
        </is>
      </c>
    </row>
    <row r="16">
      <c r="A16" s="3" t="inlineStr">
        <is>
          <t>SG&amp;A</t>
        </is>
      </c>
      <c r="B16" s="3" t="inlineStr">
        <is>
          <t>Tech Support &amp; Services</t>
        </is>
      </c>
      <c r="C16" s="4" t="inlineStr"/>
      <c r="D16" s="3" t="inlineStr">
        <is>
          <t>R$</t>
        </is>
      </c>
      <c r="E16" s="3" t="inlineStr">
        <is>
          <t>Serviços de tecnologia (editável)</t>
        </is>
      </c>
    </row>
    <row r="17">
      <c r="A17" s="3" t="inlineStr"/>
      <c r="B17" s="3" t="inlineStr"/>
      <c r="C17" s="4" t="inlineStr"/>
      <c r="D17" s="3" t="inlineStr"/>
      <c r="E17" s="3" t="inlineStr"/>
    </row>
    <row r="18">
      <c r="A18" s="3" t="inlineStr">
        <is>
          <t>Importação</t>
        </is>
      </c>
      <c r="B18" s="3" t="inlineStr">
        <is>
          <t>Status Importação</t>
        </is>
      </c>
      <c r="C18" s="3" t="inlineStr">
        <is>
          <t>Pendente</t>
        </is>
      </c>
      <c r="D18" s="3" t="inlineStr">
        <is>
          <t>Status</t>
        </is>
      </c>
      <c r="E18" s="3" t="inlineStr">
        <is>
          <t>Atualizado após importação</t>
        </is>
      </c>
    </row>
    <row r="19">
      <c r="A19" s="3" t="inlineStr">
        <is>
          <t>Importação</t>
        </is>
      </c>
      <c r="B19" s="3" t="inlineStr">
        <is>
          <t>Última Atualização</t>
        </is>
      </c>
      <c r="C19" s="4" t="inlineStr"/>
      <c r="D19" s="3" t="inlineStr">
        <is>
          <t>Data</t>
        </is>
      </c>
      <c r="E19" s="3" t="inlineStr">
        <is>
          <t>Data da última importação</t>
        </is>
      </c>
    </row>
    <row r="20">
      <c r="A20" s="3" t="inlineStr">
        <is>
          <t>Importação</t>
        </is>
      </c>
      <c r="B20" s="3" t="inlineStr">
        <is>
          <t>Total Registros</t>
        </is>
      </c>
      <c r="C20" s="4" t="inlineStr"/>
      <c r="D20" s="3" t="inlineStr">
        <is>
          <t>Qtd</t>
        </is>
      </c>
      <c r="E20" s="3" t="inlineStr">
        <is>
          <t>Quantidade de registros importados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2" customWidth="1" min="4" max="4"/>
    <col width="12" customWidth="1" min="5" max="5"/>
    <col width="10" customWidth="1" min="6" max="6"/>
    <col width="35" customWidth="1" min="7" max="7"/>
  </cols>
  <sheetData>
    <row r="1">
      <c r="A1" s="1" t="inlineStr">
        <is>
          <t>MAPEAMENTO DE CENTROS DE CUSTO E FORNECEDORES</t>
        </is>
      </c>
    </row>
    <row r="3">
      <c r="A3" s="2" t="inlineStr">
        <is>
          <t>Grupo Financeiro</t>
        </is>
      </c>
      <c r="B3" s="2" t="inlineStr">
        <is>
          <t>Centro de Custo (Conta Azul)</t>
        </is>
      </c>
      <c r="C3" s="2" t="inlineStr">
        <is>
          <t>Fornecedor/Cliente</t>
        </is>
      </c>
      <c r="D3" s="2" t="inlineStr">
        <is>
          <t>Linha P&amp;L</t>
        </is>
      </c>
      <c r="E3" s="2" t="inlineStr">
        <is>
          <t>Tipo</t>
        </is>
      </c>
      <c r="F3" s="2" t="inlineStr">
        <is>
          <t>Ativo</t>
        </is>
      </c>
      <c r="G3" s="2" t="inlineStr">
        <is>
          <t>Observações</t>
        </is>
      </c>
    </row>
    <row r="4">
      <c r="A4" s="4" t="inlineStr">
        <is>
          <t>Receita Google</t>
        </is>
      </c>
      <c r="B4" s="4" t="inlineStr">
        <is>
          <t>Google Play Net Revenue</t>
        </is>
      </c>
      <c r="C4" s="4" t="inlineStr">
        <is>
          <t>GOOGLE BRASIL PAGAMENTOS LTDA</t>
        </is>
      </c>
      <c r="D4" s="3" t="inlineStr">
        <is>
          <t>25</t>
        </is>
      </c>
      <c r="E4" s="3" t="inlineStr">
        <is>
          <t>Receita</t>
        </is>
      </c>
      <c r="F4" s="3" t="inlineStr">
        <is>
          <t>Sim</t>
        </is>
      </c>
      <c r="G4" s="3" t="inlineStr">
        <is>
          <t>Receita Google Play</t>
        </is>
      </c>
    </row>
    <row r="5">
      <c r="A5" s="4" t="inlineStr">
        <is>
          <t>Receita Apple</t>
        </is>
      </c>
      <c r="B5" s="4" t="inlineStr">
        <is>
          <t>App Store Net Revenue</t>
        </is>
      </c>
      <c r="C5" s="4" t="inlineStr">
        <is>
          <t>App Store (Apple)</t>
        </is>
      </c>
      <c r="D5" s="3" t="inlineStr">
        <is>
          <t>33</t>
        </is>
      </c>
      <c r="E5" s="3" t="inlineStr">
        <is>
          <t>Receita</t>
        </is>
      </c>
      <c r="F5" s="3" t="inlineStr">
        <is>
          <t>Sim</t>
        </is>
      </c>
      <c r="G5" s="3" t="inlineStr">
        <is>
          <t>Receita App Store</t>
        </is>
      </c>
    </row>
    <row r="6">
      <c r="A6" s="4" t="inlineStr">
        <is>
          <t>Receita Brasil</t>
        </is>
      </c>
      <c r="B6" s="4" t="inlineStr">
        <is>
          <t>Google Play Net Revenue</t>
        </is>
      </c>
      <c r="C6" s="4" t="inlineStr">
        <is>
          <t>GOOGLE BRASIL PAGAMENTOS LTDA</t>
        </is>
      </c>
      <c r="D6" s="3" t="inlineStr">
        <is>
          <t>26</t>
        </is>
      </c>
      <c r="E6" s="3" t="inlineStr">
        <is>
          <t>Receita</t>
        </is>
      </c>
      <c r="F6" s="3" t="inlineStr">
        <is>
          <t>Sim</t>
        </is>
      </c>
      <c r="G6" s="3" t="inlineStr">
        <is>
          <t>Receita Brasil - Google</t>
        </is>
      </c>
    </row>
    <row r="7">
      <c r="A7" s="4" t="inlineStr">
        <is>
          <t>Receita Brasil</t>
        </is>
      </c>
      <c r="B7" s="4" t="inlineStr">
        <is>
          <t>App Store Net Revenue</t>
        </is>
      </c>
      <c r="C7" s="4" t="inlineStr">
        <is>
          <t>App Store (Apple)</t>
        </is>
      </c>
      <c r="D7" s="3" t="inlineStr">
        <is>
          <t>34</t>
        </is>
      </c>
      <c r="E7" s="3" t="inlineStr">
        <is>
          <t>Receita</t>
        </is>
      </c>
      <c r="F7" s="3" t="inlineStr">
        <is>
          <t>Sim</t>
        </is>
      </c>
      <c r="G7" s="3" t="inlineStr">
        <is>
          <t>Receita Brasil - Apple</t>
        </is>
      </c>
    </row>
    <row r="8">
      <c r="A8" s="4" t="inlineStr">
        <is>
          <t>Receita USA</t>
        </is>
      </c>
      <c r="B8" s="4" t="inlineStr">
        <is>
          <t>Google Play Net Revenue</t>
        </is>
      </c>
      <c r="C8" s="4" t="inlineStr">
        <is>
          <t>GOOGLE BRASIL PAGAMENTOS LTDA</t>
        </is>
      </c>
      <c r="D8" s="3" t="inlineStr">
        <is>
          <t>28</t>
        </is>
      </c>
      <c r="E8" s="3" t="inlineStr">
        <is>
          <t>Receita</t>
        </is>
      </c>
      <c r="F8" s="3" t="inlineStr">
        <is>
          <t>Sim</t>
        </is>
      </c>
      <c r="G8" s="3" t="inlineStr">
        <is>
          <t>Receita USA - Google</t>
        </is>
      </c>
    </row>
    <row r="9">
      <c r="A9" s="4" t="inlineStr">
        <is>
          <t>Receita USA</t>
        </is>
      </c>
      <c r="B9" s="4" t="inlineStr">
        <is>
          <t>App Store Net Revenue</t>
        </is>
      </c>
      <c r="C9" s="4" t="inlineStr">
        <is>
          <t>App Store (Apple)</t>
        </is>
      </c>
      <c r="D9" s="3" t="inlineStr">
        <is>
          <t>36</t>
        </is>
      </c>
      <c r="E9" s="3" t="inlineStr">
        <is>
          <t>Receita</t>
        </is>
      </c>
      <c r="F9" s="3" t="inlineStr">
        <is>
          <t>Sim</t>
        </is>
      </c>
      <c r="G9" s="3" t="inlineStr">
        <is>
          <t>Receita USA - Apple</t>
        </is>
      </c>
    </row>
    <row r="10">
      <c r="A10" s="4" t="inlineStr"/>
      <c r="B10" s="4" t="inlineStr"/>
      <c r="C10" s="4" t="inlineStr"/>
      <c r="D10" s="3" t="inlineStr"/>
      <c r="E10" s="3" t="inlineStr"/>
      <c r="F10" s="3" t="inlineStr"/>
      <c r="G10" s="3" t="inlineStr"/>
    </row>
    <row r="11">
      <c r="A11" s="4" t="inlineStr">
        <is>
          <t>COGS</t>
        </is>
      </c>
      <c r="B11" s="4" t="inlineStr">
        <is>
          <t>Web Services Expenses</t>
        </is>
      </c>
      <c r="C11" s="4" t="inlineStr">
        <is>
          <t>AWS</t>
        </is>
      </c>
      <c r="D11" s="3" t="inlineStr">
        <is>
          <t>43</t>
        </is>
      </c>
      <c r="E11" s="3" t="inlineStr">
        <is>
          <t>Custo</t>
        </is>
      </c>
      <c r="F11" s="3" t="inlineStr">
        <is>
          <t>Sim</t>
        </is>
      </c>
      <c r="G11" s="3" t="inlineStr">
        <is>
          <t>Amazon Web Services</t>
        </is>
      </c>
    </row>
    <row r="12">
      <c r="A12" s="4" t="inlineStr">
        <is>
          <t>COGS</t>
        </is>
      </c>
      <c r="B12" s="4" t="inlineStr">
        <is>
          <t>Web Services Expenses</t>
        </is>
      </c>
      <c r="C12" s="4" t="inlineStr">
        <is>
          <t>Cloudflare</t>
        </is>
      </c>
      <c r="D12" s="3" t="inlineStr">
        <is>
          <t>44</t>
        </is>
      </c>
      <c r="E12" s="3" t="inlineStr">
        <is>
          <t>Custo</t>
        </is>
      </c>
      <c r="F12" s="3" t="inlineStr">
        <is>
          <t>Sim</t>
        </is>
      </c>
      <c r="G12" s="3" t="inlineStr">
        <is>
          <t>Cloudflare</t>
        </is>
      </c>
    </row>
    <row r="13">
      <c r="A13" s="4" t="inlineStr">
        <is>
          <t>COGS</t>
        </is>
      </c>
      <c r="B13" s="4" t="inlineStr">
        <is>
          <t>Web Services Expenses</t>
        </is>
      </c>
      <c r="C13" s="4" t="inlineStr">
        <is>
          <t>Heroku</t>
        </is>
      </c>
      <c r="D13" s="3" t="inlineStr">
        <is>
          <t>45</t>
        </is>
      </c>
      <c r="E13" s="3" t="inlineStr">
        <is>
          <t>Custo</t>
        </is>
      </c>
      <c r="F13" s="3" t="inlineStr">
        <is>
          <t>Sim</t>
        </is>
      </c>
      <c r="G13" s="3" t="inlineStr">
        <is>
          <t>Heroku</t>
        </is>
      </c>
    </row>
    <row r="14">
      <c r="A14" s="4" t="inlineStr">
        <is>
          <t>COGS</t>
        </is>
      </c>
      <c r="B14" s="4" t="inlineStr">
        <is>
          <t>Web Services Expenses</t>
        </is>
      </c>
      <c r="C14" s="4" t="inlineStr">
        <is>
          <t>IAPHUB</t>
        </is>
      </c>
      <c r="D14" s="3" t="inlineStr">
        <is>
          <t>46</t>
        </is>
      </c>
      <c r="E14" s="3" t="inlineStr">
        <is>
          <t>Custo</t>
        </is>
      </c>
      <c r="F14" s="3" t="inlineStr">
        <is>
          <t>Sim</t>
        </is>
      </c>
      <c r="G14" s="3" t="inlineStr">
        <is>
          <t>IAPHUB</t>
        </is>
      </c>
    </row>
    <row r="15">
      <c r="A15" s="4" t="inlineStr">
        <is>
          <t>COGS</t>
        </is>
      </c>
      <c r="B15" s="4" t="inlineStr">
        <is>
          <t>Web Services Expenses</t>
        </is>
      </c>
      <c r="C15" s="4" t="inlineStr">
        <is>
          <t>MailGun</t>
        </is>
      </c>
      <c r="D15" s="3" t="inlineStr">
        <is>
          <t>47</t>
        </is>
      </c>
      <c r="E15" s="3" t="inlineStr">
        <is>
          <t>Custo</t>
        </is>
      </c>
      <c r="F15" s="3" t="inlineStr">
        <is>
          <t>Sim</t>
        </is>
      </c>
      <c r="G15" s="3" t="inlineStr">
        <is>
          <t>MailGun</t>
        </is>
      </c>
    </row>
    <row r="16">
      <c r="A16" s="4" t="inlineStr">
        <is>
          <t>COGS</t>
        </is>
      </c>
      <c r="B16" s="4" t="inlineStr">
        <is>
          <t>Web Services Expenses</t>
        </is>
      </c>
      <c r="C16" s="4" t="inlineStr">
        <is>
          <t>AWS SES</t>
        </is>
      </c>
      <c r="D16" s="3" t="inlineStr">
        <is>
          <t>48</t>
        </is>
      </c>
      <c r="E16" s="3" t="inlineStr">
        <is>
          <t>Custo</t>
        </is>
      </c>
      <c r="F16" s="3" t="inlineStr">
        <is>
          <t>Sim</t>
        </is>
      </c>
      <c r="G16" s="3" t="inlineStr">
        <is>
          <t>AWS SES</t>
        </is>
      </c>
    </row>
    <row r="17">
      <c r="A17" s="4" t="inlineStr"/>
      <c r="B17" s="4" t="inlineStr"/>
      <c r="C17" s="4" t="inlineStr"/>
      <c r="D17" s="3" t="inlineStr"/>
      <c r="E17" s="3" t="inlineStr"/>
      <c r="F17" s="3" t="inlineStr"/>
      <c r="G17" s="3" t="inlineStr"/>
    </row>
    <row r="18">
      <c r="A18" s="4" t="inlineStr">
        <is>
          <t>SG&amp;A</t>
        </is>
      </c>
      <c r="B18" s="4" t="inlineStr">
        <is>
          <t>Marketing &amp; Growth Expenses</t>
        </is>
      </c>
      <c r="C18" s="4" t="inlineStr">
        <is>
          <t>MGA MARKETING LTDA</t>
        </is>
      </c>
      <c r="D18" s="3" t="inlineStr">
        <is>
          <t>56</t>
        </is>
      </c>
      <c r="E18" s="3" t="inlineStr">
        <is>
          <t>Despesa</t>
        </is>
      </c>
      <c r="F18" s="3" t="inlineStr">
        <is>
          <t>Sim</t>
        </is>
      </c>
      <c r="G18" s="3" t="inlineStr">
        <is>
          <t>Marketing</t>
        </is>
      </c>
    </row>
    <row r="19">
      <c r="A19" s="4" t="inlineStr">
        <is>
          <t>SG&amp;A</t>
        </is>
      </c>
      <c r="B19" s="4" t="inlineStr">
        <is>
          <t>Marketing &amp; Growth Expenses</t>
        </is>
      </c>
      <c r="C19" s="4" t="inlineStr">
        <is>
          <t>Diversos</t>
        </is>
      </c>
      <c r="D19" s="3" t="inlineStr">
        <is>
          <t>56</t>
        </is>
      </c>
      <c r="E19" s="3" t="inlineStr">
        <is>
          <t>Despesa</t>
        </is>
      </c>
      <c r="F19" s="3" t="inlineStr">
        <is>
          <t>Sim</t>
        </is>
      </c>
      <c r="G19" s="3" t="inlineStr">
        <is>
          <t>Marketing - Diversos</t>
        </is>
      </c>
    </row>
    <row r="20">
      <c r="A20" s="4" t="inlineStr">
        <is>
          <t>SG&amp;A</t>
        </is>
      </c>
      <c r="B20" s="4" t="inlineStr">
        <is>
          <t>Wages Expenses</t>
        </is>
      </c>
      <c r="C20" s="4" t="inlineStr">
        <is>
          <t>Diversos</t>
        </is>
      </c>
      <c r="D20" s="3" t="inlineStr">
        <is>
          <t>64</t>
        </is>
      </c>
      <c r="E20" s="3" t="inlineStr">
        <is>
          <t>Despesa</t>
        </is>
      </c>
      <c r="F20" s="3" t="inlineStr">
        <is>
          <t>Sim</t>
        </is>
      </c>
      <c r="G20" s="3" t="inlineStr">
        <is>
          <t>Salários e Pró-labore</t>
        </is>
      </c>
    </row>
    <row r="21">
      <c r="A21" s="4" t="inlineStr">
        <is>
          <t>SG&amp;A</t>
        </is>
      </c>
      <c r="B21" s="4" t="inlineStr">
        <is>
          <t>Tech Support &amp; Services</t>
        </is>
      </c>
      <c r="C21" s="4" t="inlineStr">
        <is>
          <t>Adobe</t>
        </is>
      </c>
      <c r="D21" s="3" t="inlineStr">
        <is>
          <t>68</t>
        </is>
      </c>
      <c r="E21" s="3" t="inlineStr">
        <is>
          <t>Despesa</t>
        </is>
      </c>
      <c r="F21" s="3" t="inlineStr">
        <is>
          <t>Sim</t>
        </is>
      </c>
      <c r="G21" s="3" t="inlineStr">
        <is>
          <t>Adobe Creative Cloud</t>
        </is>
      </c>
    </row>
    <row r="22">
      <c r="A22" s="4" t="inlineStr">
        <is>
          <t>SG&amp;A</t>
        </is>
      </c>
      <c r="B22" s="4" t="inlineStr">
        <is>
          <t>Tech Support &amp; Services</t>
        </is>
      </c>
      <c r="C22" s="4" t="inlineStr">
        <is>
          <t>Canva</t>
        </is>
      </c>
      <c r="D22" s="3" t="inlineStr">
        <is>
          <t>68</t>
        </is>
      </c>
      <c r="E22" s="3" t="inlineStr">
        <is>
          <t>Despesa</t>
        </is>
      </c>
      <c r="F22" s="3" t="inlineStr">
        <is>
          <t>Sim</t>
        </is>
      </c>
      <c r="G22" s="3" t="inlineStr">
        <is>
          <t>Canva</t>
        </is>
      </c>
    </row>
    <row r="23">
      <c r="A23" s="4" t="inlineStr">
        <is>
          <t>SG&amp;A</t>
        </is>
      </c>
      <c r="B23" s="4" t="inlineStr">
        <is>
          <t>Tech Support &amp; Services</t>
        </is>
      </c>
      <c r="C23" s="4" t="inlineStr">
        <is>
          <t>ClickSign</t>
        </is>
      </c>
      <c r="D23" s="3" t="inlineStr">
        <is>
          <t>68</t>
        </is>
      </c>
      <c r="E23" s="3" t="inlineStr">
        <is>
          <t>Despesa</t>
        </is>
      </c>
      <c r="F23" s="3" t="inlineStr">
        <is>
          <t>Sim</t>
        </is>
      </c>
      <c r="G23" s="3" t="inlineStr">
        <is>
          <t>ClickSign</t>
        </is>
      </c>
    </row>
    <row r="24">
      <c r="A24" s="4" t="inlineStr">
        <is>
          <t>SG&amp;A</t>
        </is>
      </c>
      <c r="B24" s="4" t="inlineStr">
        <is>
          <t>Tech Support &amp; Services</t>
        </is>
      </c>
      <c r="C24" s="4" t="inlineStr">
        <is>
          <t>COMPANYHERO SAO PAULO BRA</t>
        </is>
      </c>
      <c r="D24" s="3" t="inlineStr">
        <is>
          <t>68</t>
        </is>
      </c>
      <c r="E24" s="3" t="inlineStr">
        <is>
          <t>Despesa</t>
        </is>
      </c>
      <c r="F24" s="3" t="inlineStr">
        <is>
          <t>Sim</t>
        </is>
      </c>
      <c r="G24" s="3" t="inlineStr">
        <is>
          <t>CompanyHero</t>
        </is>
      </c>
    </row>
    <row r="25">
      <c r="A25" s="4" t="inlineStr">
        <is>
          <t>SG&amp;A</t>
        </is>
      </c>
      <c r="B25" s="4" t="inlineStr">
        <is>
          <t>Tech Support &amp; Services</t>
        </is>
      </c>
      <c r="C25" s="4" t="inlineStr">
        <is>
          <t>Diversos</t>
        </is>
      </c>
      <c r="D25" s="3" t="inlineStr">
        <is>
          <t>65</t>
        </is>
      </c>
      <c r="E25" s="3" t="inlineStr">
        <is>
          <t>Despesa</t>
        </is>
      </c>
      <c r="F25" s="3" t="inlineStr">
        <is>
          <t>Sim</t>
        </is>
      </c>
      <c r="G25" s="3" t="inlineStr">
        <is>
          <t>Tech Support - Diversos</t>
        </is>
      </c>
    </row>
    <row r="26">
      <c r="A26" s="4" t="inlineStr"/>
      <c r="B26" s="4" t="inlineStr"/>
      <c r="C26" s="4" t="inlineStr"/>
      <c r="D26" s="3" t="inlineStr"/>
      <c r="E26" s="3" t="inlineStr"/>
      <c r="F26" s="3" t="inlineStr"/>
      <c r="G26" s="3" t="inlineStr"/>
    </row>
    <row r="27">
      <c r="A27" s="4" t="inlineStr">
        <is>
          <t>Outras Despesas</t>
        </is>
      </c>
      <c r="B27" s="4" t="inlineStr">
        <is>
          <t>Legal &amp; Accounting Expenses</t>
        </is>
      </c>
      <c r="C27" s="4" t="inlineStr">
        <is>
          <t>BHUB.AI</t>
        </is>
      </c>
      <c r="D27" s="3" t="inlineStr">
        <is>
          <t>90</t>
        </is>
      </c>
      <c r="E27" s="3" t="inlineStr">
        <is>
          <t>Despesa</t>
        </is>
      </c>
      <c r="F27" s="3" t="inlineStr">
        <is>
          <t>Sim</t>
        </is>
      </c>
      <c r="G27" s="3" t="inlineStr">
        <is>
          <t>BPO Financeiro</t>
        </is>
      </c>
    </row>
    <row r="28">
      <c r="A28" s="4" t="inlineStr">
        <is>
          <t>Outras Despesas</t>
        </is>
      </c>
      <c r="B28" s="4" t="inlineStr">
        <is>
          <t>Legal &amp; Accounting Expenses</t>
        </is>
      </c>
      <c r="C28" s="4" t="inlineStr">
        <is>
          <t>WOLFF E SCRIPES ADVOGADOS</t>
        </is>
      </c>
      <c r="D28" s="3" t="inlineStr">
        <is>
          <t>90</t>
        </is>
      </c>
      <c r="E28" s="3" t="inlineStr">
        <is>
          <t>Despesa</t>
        </is>
      </c>
      <c r="F28" s="3" t="inlineStr">
        <is>
          <t>Sim</t>
        </is>
      </c>
      <c r="G28" s="3" t="inlineStr">
        <is>
          <t>Honorários Advocatícios</t>
        </is>
      </c>
    </row>
    <row r="29">
      <c r="A29" s="4" t="inlineStr">
        <is>
          <t>Outras Despesas</t>
        </is>
      </c>
      <c r="B29" s="4" t="inlineStr">
        <is>
          <t>Office Expenses</t>
        </is>
      </c>
      <c r="C29" s="4" t="inlineStr">
        <is>
          <t>GO OFFICES LATAM S/A</t>
        </is>
      </c>
      <c r="D29" s="3" t="inlineStr">
        <is>
          <t>90</t>
        </is>
      </c>
      <c r="E29" s="3" t="inlineStr">
        <is>
          <t>Despesa</t>
        </is>
      </c>
      <c r="F29" s="3" t="inlineStr">
        <is>
          <t>Sim</t>
        </is>
      </c>
      <c r="G29" s="3" t="inlineStr">
        <is>
          <t>Aluguel</t>
        </is>
      </c>
    </row>
    <row r="30">
      <c r="A30" s="4" t="inlineStr">
        <is>
          <t>Outras Despesas</t>
        </is>
      </c>
      <c r="B30" s="4" t="inlineStr">
        <is>
          <t>Office Expenses</t>
        </is>
      </c>
      <c r="C30" s="4" t="inlineStr">
        <is>
          <t>CO-SERVICES DO BRASIL  SERVICOS COMBINADOS DE APOIO A EDIFICIOS LTDA</t>
        </is>
      </c>
      <c r="D30" s="3" t="inlineStr">
        <is>
          <t>90</t>
        </is>
      </c>
      <c r="E30" s="3" t="inlineStr">
        <is>
          <t>Despesa</t>
        </is>
      </c>
      <c r="F30" s="3" t="inlineStr">
        <is>
          <t>Sim</t>
        </is>
      </c>
      <c r="G30" s="3" t="inlineStr">
        <is>
          <t>Serviços de Escritório</t>
        </is>
      </c>
    </row>
    <row r="31">
      <c r="A31" s="4" t="inlineStr">
        <is>
          <t>Outras Despesas</t>
        </is>
      </c>
      <c r="B31" s="4" t="inlineStr">
        <is>
          <t>Travel</t>
        </is>
      </c>
      <c r="C31" s="4" t="inlineStr">
        <is>
          <t>American Airlines</t>
        </is>
      </c>
      <c r="D31" s="3" t="inlineStr">
        <is>
          <t>90</t>
        </is>
      </c>
      <c r="E31" s="3" t="inlineStr">
        <is>
          <t>Despesa</t>
        </is>
      </c>
      <c r="F31" s="3" t="inlineStr">
        <is>
          <t>Sim</t>
        </is>
      </c>
      <c r="G31" s="3" t="inlineStr">
        <is>
          <t>Viagens</t>
        </is>
      </c>
    </row>
    <row r="32">
      <c r="A32" s="4" t="inlineStr">
        <is>
          <t>Outras Despesas</t>
        </is>
      </c>
      <c r="B32" s="4" t="inlineStr">
        <is>
          <t>Other Taxes</t>
        </is>
      </c>
      <c r="C32" s="4" t="inlineStr">
        <is>
          <t>IMPOSTOS/TRIBUTOS</t>
        </is>
      </c>
      <c r="D32" s="3" t="inlineStr">
        <is>
          <t>90</t>
        </is>
      </c>
      <c r="E32" s="3" t="inlineStr">
        <is>
          <t>Despesa</t>
        </is>
      </c>
      <c r="F32" s="3" t="inlineStr">
        <is>
          <t>Sim</t>
        </is>
      </c>
      <c r="G32" s="3" t="inlineStr">
        <is>
          <t>Impostos e Tributos</t>
        </is>
      </c>
    </row>
    <row r="33">
      <c r="A33" s="4" t="inlineStr">
        <is>
          <t>Outras Despesas</t>
        </is>
      </c>
      <c r="B33" s="4" t="inlineStr">
        <is>
          <t>Payroll Tax - Brazil</t>
        </is>
      </c>
      <c r="C33" s="4" t="inlineStr">
        <is>
          <t>IMPOSTOS/TRIBUTOS</t>
        </is>
      </c>
      <c r="D33" s="3" t="inlineStr">
        <is>
          <t>90</t>
        </is>
      </c>
      <c r="E33" s="3" t="inlineStr">
        <is>
          <t>Despesa</t>
        </is>
      </c>
      <c r="F33" s="3" t="inlineStr">
        <is>
          <t>Sim</t>
        </is>
      </c>
      <c r="G33" s="3" t="inlineStr">
        <is>
          <t>Impostos sobre Folha</t>
        </is>
      </c>
    </row>
    <row r="34">
      <c r="A34" s="4" t="inlineStr"/>
      <c r="B34" s="4" t="inlineStr"/>
      <c r="C34" s="4" t="inlineStr"/>
      <c r="D34" s="3" t="inlineStr"/>
      <c r="E34" s="3" t="inlineStr"/>
      <c r="F34" s="3" t="inlineStr"/>
      <c r="G34" s="3" t="inlineStr"/>
    </row>
    <row r="35">
      <c r="A35" s="4" t="inlineStr">
        <is>
          <t>Rendimentos</t>
        </is>
      </c>
      <c r="B35" s="4" t="inlineStr">
        <is>
          <t>Rendimentos de Aplicações</t>
        </is>
      </c>
      <c r="C35" s="4" t="inlineStr">
        <is>
          <t>CONTA SIMPLES</t>
        </is>
      </c>
      <c r="D35" s="3" t="inlineStr">
        <is>
          <t>38</t>
        </is>
      </c>
      <c r="E35" s="3" t="inlineStr">
        <is>
          <t>Receita</t>
        </is>
      </c>
      <c r="F35" s="3" t="inlineStr">
        <is>
          <t>Sim</t>
        </is>
      </c>
      <c r="G35" s="3" t="inlineStr">
        <is>
          <t>Rendimentos CDI - Conta Simples</t>
        </is>
      </c>
    </row>
    <row r="36">
      <c r="A36" s="4" t="inlineStr">
        <is>
          <t>Rendimentos</t>
        </is>
      </c>
      <c r="B36" s="4" t="inlineStr">
        <is>
          <t>Rendimentos de Aplicações</t>
        </is>
      </c>
      <c r="C36" s="4" t="inlineStr">
        <is>
          <t>BANCO INTER</t>
        </is>
      </c>
      <c r="D36" s="3" t="inlineStr">
        <is>
          <t>38</t>
        </is>
      </c>
      <c r="E36" s="3" t="inlineStr">
        <is>
          <t>Receita</t>
        </is>
      </c>
      <c r="F36" s="3" t="inlineStr">
        <is>
          <t>Sim</t>
        </is>
      </c>
      <c r="G36" s="3" t="inlineStr">
        <is>
          <t>Rendimentos - Banco Inter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50" customWidth="1" min="4" max="4"/>
    <col width="15" customWidth="1" min="5" max="5"/>
    <col width="15" customWidth="1" min="6" max="6"/>
    <col width="3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EXTRATO CONTA AZUL - DADOS IMPORTADOS</t>
        </is>
      </c>
    </row>
    <row r="3">
      <c r="A3" s="5" t="inlineStr">
        <is>
          <t>Data Competência</t>
        </is>
      </c>
      <c r="B3" s="5" t="inlineStr">
        <is>
          <t>Centro de Custo</t>
        </is>
      </c>
      <c r="C3" s="5" t="inlineStr">
        <is>
          <t>Fornecedor/Cliente</t>
        </is>
      </c>
      <c r="D3" s="5" t="inlineStr">
        <is>
          <t>Descrição</t>
        </is>
      </c>
      <c r="E3" s="5" t="inlineStr">
        <is>
          <t>Valor (R$)</t>
        </is>
      </c>
      <c r="F3" s="5" t="inlineStr">
        <is>
          <t>Tipo Operação</t>
        </is>
      </c>
      <c r="G3" s="5" t="inlineStr">
        <is>
          <t>Categoria</t>
        </is>
      </c>
      <c r="H3" s="5" t="inlineStr">
        <is>
          <t>Mês</t>
        </is>
      </c>
      <c r="I3" s="5" t="inlineStr">
        <is>
          <t>Grupo Mapeado</t>
        </is>
      </c>
      <c r="J3" s="5" t="inlineStr">
        <is>
          <t>Linha P&amp;L</t>
        </is>
      </c>
    </row>
    <row r="4">
      <c r="A4" s="6" t="n">
        <v>45901</v>
      </c>
      <c r="B4" s="3" t="inlineStr">
        <is>
          <t>Other Taxes</t>
        </is>
      </c>
      <c r="C4" s="3" t="inlineStr">
        <is>
          <t>BANCO INTER</t>
        </is>
      </c>
      <c r="D4" s="3" t="inlineStr">
        <is>
          <t>Ajuste de cota/precificação para alinhar ao extrato (valor bruto)</t>
        </is>
      </c>
      <c r="E4" s="3" t="n">
        <v>438.62</v>
      </c>
      <c r="F4" s="3" t="inlineStr">
        <is>
          <t>Crédito</t>
        </is>
      </c>
      <c r="G4" s="3" t="inlineStr">
        <is>
          <t>Ajuste de cotas</t>
        </is>
      </c>
      <c r="H4" s="3" t="inlineStr">
        <is>
          <t>2025-09</t>
        </is>
      </c>
      <c r="I4" s="3" t="n"/>
      <c r="J4" s="3" t="n"/>
    </row>
    <row r="5">
      <c r="A5" s="6" t="n">
        <v>45901</v>
      </c>
      <c r="B5" s="3" t="inlineStr">
        <is>
          <t>Marketing &amp; Growth Expenses</t>
        </is>
      </c>
      <c r="C5" s="3" t="n"/>
      <c r="D5" s="3" t="inlineStr">
        <is>
          <t>Jonatthan Marllon Espinola Reganham - Transferência | Pix</t>
        </is>
      </c>
      <c r="E5" s="3" t="n">
        <v>-74</v>
      </c>
      <c r="F5" s="3" t="inlineStr">
        <is>
          <t>Débito</t>
        </is>
      </c>
      <c r="G5" s="3" t="inlineStr">
        <is>
          <t>Marketing e Publicidade - Sem NF</t>
        </is>
      </c>
      <c r="H5" s="3" t="inlineStr">
        <is>
          <t>2025-09</t>
        </is>
      </c>
      <c r="I5" s="3" t="n"/>
      <c r="J5" s="3" t="n"/>
    </row>
    <row r="6">
      <c r="A6" s="6" t="n">
        <v>45901</v>
      </c>
      <c r="B6" s="3" t="inlineStr">
        <is>
          <t>Rendimentos de Aplicações</t>
        </is>
      </c>
      <c r="C6" s="3" t="inlineStr">
        <is>
          <t>CONTA SIMPLES</t>
        </is>
      </c>
      <c r="D6" s="3" t="inlineStr">
        <is>
          <t>Rentabilidade CDI - Remuneração-Cta Pgto</t>
        </is>
      </c>
      <c r="E6" s="3" t="n">
        <v>5.7</v>
      </c>
      <c r="F6" s="3" t="inlineStr">
        <is>
          <t>Crédito</t>
        </is>
      </c>
      <c r="G6" s="3" t="inlineStr">
        <is>
          <t>Rendimentos de Aplicações</t>
        </is>
      </c>
      <c r="H6" s="3" t="inlineStr">
        <is>
          <t>2025-09</t>
        </is>
      </c>
      <c r="I6" s="3" t="n"/>
      <c r="J6" s="3" t="n"/>
    </row>
    <row r="7">
      <c r="A7" s="6" t="n">
        <v>45902</v>
      </c>
      <c r="B7" s="3" t="inlineStr">
        <is>
          <t>Rendimentos de Aplicações</t>
        </is>
      </c>
      <c r="C7" s="3" t="inlineStr">
        <is>
          <t>CONTA SIMPLES</t>
        </is>
      </c>
      <c r="D7" s="3" t="inlineStr">
        <is>
          <t>Rentabilidade CDI - Remuneração-Cta Pgto</t>
        </is>
      </c>
      <c r="E7" s="3" t="n">
        <v>23.9</v>
      </c>
      <c r="F7" s="3" t="inlineStr">
        <is>
          <t>Crédito</t>
        </is>
      </c>
      <c r="G7" s="3" t="inlineStr">
        <is>
          <t>Rendimentos de Aplicações</t>
        </is>
      </c>
      <c r="H7" s="3" t="inlineStr">
        <is>
          <t>2025-09</t>
        </is>
      </c>
      <c r="I7" s="3" t="n"/>
      <c r="J7" s="3" t="n"/>
    </row>
    <row r="8">
      <c r="A8" s="6" t="n">
        <v>45903</v>
      </c>
      <c r="B8" s="3" t="inlineStr">
        <is>
          <t>Rendimentos de Aplicações</t>
        </is>
      </c>
      <c r="C8" s="3" t="inlineStr">
        <is>
          <t>CONTA SIMPLES</t>
        </is>
      </c>
      <c r="D8" s="3" t="inlineStr">
        <is>
          <t>Rentabilidade CDI - Remuneração-Cta Pgto</t>
        </is>
      </c>
      <c r="E8" s="3" t="n">
        <v>23.4</v>
      </c>
      <c r="F8" s="3" t="inlineStr">
        <is>
          <t>Crédito</t>
        </is>
      </c>
      <c r="G8" s="3" t="inlineStr">
        <is>
          <t>Rendimentos de Aplicações</t>
        </is>
      </c>
      <c r="H8" s="3" t="inlineStr">
        <is>
          <t>2025-09</t>
        </is>
      </c>
      <c r="I8" s="3" t="n"/>
      <c r="J8" s="3" t="n"/>
    </row>
    <row r="9">
      <c r="A9" s="6" t="n">
        <v>45904</v>
      </c>
      <c r="B9" s="3" t="inlineStr">
        <is>
          <t>Rendimentos de Aplicações</t>
        </is>
      </c>
      <c r="C9" s="3" t="inlineStr">
        <is>
          <t>CONTA SIMPLES</t>
        </is>
      </c>
      <c r="D9" s="3" t="inlineStr">
        <is>
          <t>Rentabilidade CDI - Remuneração-Cta Pgto</t>
        </is>
      </c>
      <c r="E9" s="3" t="n">
        <v>24.83</v>
      </c>
      <c r="F9" s="3" t="inlineStr">
        <is>
          <t>Crédito</t>
        </is>
      </c>
      <c r="G9" s="3" t="inlineStr">
        <is>
          <t>Rendimentos de Aplicações</t>
        </is>
      </c>
      <c r="H9" s="3" t="inlineStr">
        <is>
          <t>2025-09</t>
        </is>
      </c>
      <c r="I9" s="3" t="n"/>
      <c r="J9" s="3" t="n"/>
    </row>
    <row r="10">
      <c r="A10" s="6" t="n">
        <v>45905</v>
      </c>
      <c r="B10" s="3" t="n"/>
      <c r="C10" s="3" t="n"/>
      <c r="D10" s="3" t="inlineStr">
        <is>
          <t>Pix enviado - Umatch Ltda</t>
        </is>
      </c>
      <c r="E10" s="3" t="n">
        <v>47610</v>
      </c>
      <c r="F10" s="3" t="inlineStr">
        <is>
          <t>Crédito</t>
        </is>
      </c>
      <c r="G10" s="3" t="inlineStr">
        <is>
          <t>Transferência de Entrada</t>
        </is>
      </c>
      <c r="H10" s="3" t="inlineStr">
        <is>
          <t>2025-09</t>
        </is>
      </c>
      <c r="I10" s="3" t="n"/>
      <c r="J10" s="3" t="n"/>
    </row>
    <row r="11">
      <c r="A11" s="6" t="n">
        <v>45905</v>
      </c>
      <c r="B11" s="3" t="n"/>
      <c r="C11" s="3" t="n"/>
      <c r="D11" s="3" t="inlineStr">
        <is>
          <t>Pix enviado - Umatch Ltda</t>
        </is>
      </c>
      <c r="E11" s="3" t="n">
        <v>-47610</v>
      </c>
      <c r="F11" s="3" t="inlineStr">
        <is>
          <t>Débito</t>
        </is>
      </c>
      <c r="G11" s="3" t="inlineStr">
        <is>
          <t>Transferência de Saída</t>
        </is>
      </c>
      <c r="H11" s="3" t="inlineStr">
        <is>
          <t>2025-09</t>
        </is>
      </c>
      <c r="I11" s="3" t="n"/>
      <c r="J11" s="3" t="n"/>
    </row>
    <row r="12">
      <c r="A12" s="6" t="n">
        <v>45905</v>
      </c>
      <c r="B12" s="3" t="inlineStr">
        <is>
          <t>Marketing &amp; Growth Expenses</t>
        </is>
      </c>
      <c r="C12" s="3" t="n"/>
      <c r="D12" s="3" t="inlineStr">
        <is>
          <t>Higor Natan Costa Barbosa - Transferência | Pix</t>
        </is>
      </c>
      <c r="E12" s="3" t="n">
        <v>-2564</v>
      </c>
      <c r="F12" s="3" t="inlineStr">
        <is>
          <t>Débito</t>
        </is>
      </c>
      <c r="G12" s="3" t="inlineStr">
        <is>
          <t>Marketing e Publicidade - Sem NF</t>
        </is>
      </c>
      <c r="H12" s="3" t="inlineStr">
        <is>
          <t>2025-09</t>
        </is>
      </c>
      <c r="I12" s="3" t="n"/>
      <c r="J12" s="3" t="n"/>
    </row>
    <row r="13">
      <c r="A13" s="6" t="n">
        <v>45905</v>
      </c>
      <c r="B13" s="3" t="inlineStr">
        <is>
          <t>Marketing &amp; Growth Expenses</t>
        </is>
      </c>
      <c r="C13" s="3" t="n"/>
      <c r="D13" s="3" t="inlineStr">
        <is>
          <t>GUSTAVO CRUZ SILVA - Transferência | Pix</t>
        </is>
      </c>
      <c r="E13" s="3" t="n">
        <v>-1854</v>
      </c>
      <c r="F13" s="3" t="inlineStr">
        <is>
          <t>Débito</t>
        </is>
      </c>
      <c r="G13" s="3" t="inlineStr">
        <is>
          <t>Marketing e Publicidade - Sem NF</t>
        </is>
      </c>
      <c r="H13" s="3" t="inlineStr">
        <is>
          <t>2025-09</t>
        </is>
      </c>
      <c r="I13" s="3" t="n"/>
      <c r="J13" s="3" t="n"/>
    </row>
    <row r="14">
      <c r="A14" s="6" t="n">
        <v>45905</v>
      </c>
      <c r="B14" s="3" t="inlineStr">
        <is>
          <t>Marketing &amp; Growth Expenses</t>
        </is>
      </c>
      <c r="C14" s="3" t="n"/>
      <c r="D14" s="3" t="inlineStr">
        <is>
          <t>Alan Pereira dos Anjos - Transferência | Pix</t>
        </is>
      </c>
      <c r="E14" s="3" t="n">
        <v>-1786</v>
      </c>
      <c r="F14" s="3" t="inlineStr">
        <is>
          <t>Débito</t>
        </is>
      </c>
      <c r="G14" s="3" t="inlineStr">
        <is>
          <t>Marketing e Publicidade - Sem NF</t>
        </is>
      </c>
      <c r="H14" s="3" t="inlineStr">
        <is>
          <t>2025-09</t>
        </is>
      </c>
      <c r="I14" s="3" t="n"/>
      <c r="J14" s="3" t="n"/>
    </row>
    <row r="15">
      <c r="A15" s="6" t="n">
        <v>45905</v>
      </c>
      <c r="B15" s="3" t="inlineStr">
        <is>
          <t>Marketing &amp; Growth Expenses</t>
        </is>
      </c>
      <c r="C15" s="3" t="n"/>
      <c r="D15" s="3" t="inlineStr">
        <is>
          <t>Rian da Silva Mascarenhas - Transferência | Pix</t>
        </is>
      </c>
      <c r="E15" s="3" t="n">
        <v>-1602</v>
      </c>
      <c r="F15" s="3" t="inlineStr">
        <is>
          <t>Débito</t>
        </is>
      </c>
      <c r="G15" s="3" t="inlineStr">
        <is>
          <t>Marketing e Publicidade - Sem NF</t>
        </is>
      </c>
      <c r="H15" s="3" t="inlineStr">
        <is>
          <t>2025-09</t>
        </is>
      </c>
      <c r="I15" s="3" t="n"/>
      <c r="J15" s="3" t="n"/>
    </row>
    <row r="16">
      <c r="A16" s="6" t="n">
        <v>45905</v>
      </c>
      <c r="B16" s="3" t="inlineStr">
        <is>
          <t>Marketing &amp; Growth Expenses</t>
        </is>
      </c>
      <c r="C16" s="3" t="n"/>
      <c r="D16" s="3" t="inlineStr">
        <is>
          <t>Nataniele Cristian Nonato dos Anjos - Transferência | Pix</t>
        </is>
      </c>
      <c r="E16" s="3" t="n">
        <v>-1372</v>
      </c>
      <c r="F16" s="3" t="inlineStr">
        <is>
          <t>Débito</t>
        </is>
      </c>
      <c r="G16" s="3" t="inlineStr">
        <is>
          <t>Marketing e Publicidade - Sem NF</t>
        </is>
      </c>
      <c r="H16" s="3" t="inlineStr">
        <is>
          <t>2025-09</t>
        </is>
      </c>
      <c r="I16" s="3" t="n"/>
      <c r="J16" s="3" t="n"/>
    </row>
    <row r="17">
      <c r="A17" s="6" t="n">
        <v>45905</v>
      </c>
      <c r="B17" s="3" t="inlineStr">
        <is>
          <t>Marketing &amp; Growth Expenses</t>
        </is>
      </c>
      <c r="C17" s="3" t="n"/>
      <c r="D17" s="3" t="inlineStr">
        <is>
          <t>Arthur de Queiros Alves - Transferência | Pix</t>
        </is>
      </c>
      <c r="E17" s="3" t="n">
        <v>-1260</v>
      </c>
      <c r="F17" s="3" t="inlineStr">
        <is>
          <t>Débito</t>
        </is>
      </c>
      <c r="G17" s="3" t="inlineStr">
        <is>
          <t>Marketing e Publicidade - Sem NF</t>
        </is>
      </c>
      <c r="H17" s="3" t="inlineStr">
        <is>
          <t>2025-09</t>
        </is>
      </c>
      <c r="I17" s="3" t="n"/>
      <c r="J17" s="3" t="n"/>
    </row>
    <row r="18">
      <c r="A18" s="6" t="n">
        <v>45905</v>
      </c>
      <c r="B18" s="3" t="inlineStr">
        <is>
          <t>Marketing &amp; Growth Expenses</t>
        </is>
      </c>
      <c r="C18" s="3" t="n"/>
      <c r="D18" s="3" t="inlineStr">
        <is>
          <t>Dalva Alves Costa - Transferência | Pix</t>
        </is>
      </c>
      <c r="E18" s="3" t="n">
        <v>-1240</v>
      </c>
      <c r="F18" s="3" t="inlineStr">
        <is>
          <t>Débito</t>
        </is>
      </c>
      <c r="G18" s="3" t="inlineStr">
        <is>
          <t>Marketing e Publicidade - Sem NF</t>
        </is>
      </c>
      <c r="H18" s="3" t="inlineStr">
        <is>
          <t>2025-09</t>
        </is>
      </c>
      <c r="I18" s="3" t="n"/>
      <c r="J18" s="3" t="n"/>
    </row>
    <row r="19">
      <c r="A19" s="6" t="n">
        <v>45905</v>
      </c>
      <c r="B19" s="3" t="inlineStr">
        <is>
          <t>Marketing &amp; Growth Expenses</t>
        </is>
      </c>
      <c r="C19" s="3" t="n"/>
      <c r="D19" s="3" t="inlineStr">
        <is>
          <t>Gabriel Santos de Freitas - Transferência | Pix</t>
        </is>
      </c>
      <c r="E19" s="3" t="n">
        <v>-1178</v>
      </c>
      <c r="F19" s="3" t="inlineStr">
        <is>
          <t>Débito</t>
        </is>
      </c>
      <c r="G19" s="3" t="inlineStr">
        <is>
          <t>Marketing e Publicidade - Sem NF</t>
        </is>
      </c>
      <c r="H19" s="3" t="inlineStr">
        <is>
          <t>2025-09</t>
        </is>
      </c>
      <c r="I19" s="3" t="n"/>
      <c r="J19" s="3" t="n"/>
    </row>
    <row r="20">
      <c r="A20" s="6" t="n">
        <v>45905</v>
      </c>
      <c r="B20" s="3" t="inlineStr">
        <is>
          <t>Marketing &amp; Growth Expenses</t>
        </is>
      </c>
      <c r="C20" s="3" t="n"/>
      <c r="D20" s="3" t="inlineStr">
        <is>
          <t>Evellyn Alves Melo - Transferência | Pix</t>
        </is>
      </c>
      <c r="E20" s="3" t="n">
        <v>-1096</v>
      </c>
      <c r="F20" s="3" t="inlineStr">
        <is>
          <t>Débito</t>
        </is>
      </c>
      <c r="G20" s="3" t="inlineStr">
        <is>
          <t>Marketing e Publicidade - Sem NF</t>
        </is>
      </c>
      <c r="H20" s="3" t="inlineStr">
        <is>
          <t>2025-09</t>
        </is>
      </c>
      <c r="I20" s="3" t="n"/>
      <c r="J20" s="3" t="n"/>
    </row>
    <row r="21">
      <c r="A21" s="6" t="n">
        <v>45905</v>
      </c>
      <c r="B21" s="3" t="inlineStr">
        <is>
          <t>Marketing &amp; Growth Expenses</t>
        </is>
      </c>
      <c r="C21" s="3" t="n"/>
      <c r="D21" s="3" t="inlineStr">
        <is>
          <t>Rafael Pimenta Vieira - Transferência | Pix</t>
        </is>
      </c>
      <c r="E21" s="3" t="n">
        <v>-882</v>
      </c>
      <c r="F21" s="3" t="inlineStr">
        <is>
          <t>Débito</t>
        </is>
      </c>
      <c r="G21" s="3" t="inlineStr">
        <is>
          <t>Marketing e Publicidade - Sem NF</t>
        </is>
      </c>
      <c r="H21" s="3" t="inlineStr">
        <is>
          <t>2025-09</t>
        </is>
      </c>
      <c r="I21" s="3" t="n"/>
      <c r="J21" s="3" t="n"/>
    </row>
    <row r="22">
      <c r="A22" s="6" t="n">
        <v>45905</v>
      </c>
      <c r="B22" s="3" t="inlineStr">
        <is>
          <t>Marketing &amp; Growth Expenses</t>
        </is>
      </c>
      <c r="C22" s="3" t="n"/>
      <c r="D22" s="3" t="inlineStr">
        <is>
          <t>Nathalia Cristina Lucas Elias - Transferência | Pix</t>
        </is>
      </c>
      <c r="E22" s="3" t="n">
        <v>-876</v>
      </c>
      <c r="F22" s="3" t="inlineStr">
        <is>
          <t>Débito</t>
        </is>
      </c>
      <c r="G22" s="3" t="inlineStr">
        <is>
          <t>Marketing e Publicidade - Sem NF</t>
        </is>
      </c>
      <c r="H22" s="3" t="inlineStr">
        <is>
          <t>2025-09</t>
        </is>
      </c>
      <c r="I22" s="3" t="n"/>
      <c r="J22" s="3" t="n"/>
    </row>
    <row r="23">
      <c r="A23" s="6" t="n">
        <v>45905</v>
      </c>
      <c r="B23" s="3" t="inlineStr">
        <is>
          <t>Marketing &amp; Growth Expenses</t>
        </is>
      </c>
      <c r="C23" s="3" t="n"/>
      <c r="D23" s="3" t="inlineStr">
        <is>
          <t>VALDIR PELIK CALAZANS - Transferência | Pix</t>
        </is>
      </c>
      <c r="E23" s="3" t="n">
        <v>-1090</v>
      </c>
      <c r="F23" s="3" t="inlineStr">
        <is>
          <t>Débito</t>
        </is>
      </c>
      <c r="G23" s="3" t="inlineStr">
        <is>
          <t>Marketing e Publicidade - Sem NF</t>
        </is>
      </c>
      <c r="H23" s="3" t="inlineStr">
        <is>
          <t>2025-09</t>
        </is>
      </c>
      <c r="I23" s="3" t="n"/>
      <c r="J23" s="3" t="n"/>
    </row>
    <row r="24">
      <c r="A24" s="6" t="n">
        <v>45905</v>
      </c>
      <c r="B24" s="3" t="inlineStr">
        <is>
          <t>Marketing &amp; Growth Expenses</t>
        </is>
      </c>
      <c r="C24" s="3" t="n"/>
      <c r="D24" s="3" t="inlineStr">
        <is>
          <t>Clarita da Silva - Transferência | Pix</t>
        </is>
      </c>
      <c r="E24" s="3" t="n">
        <v>-842</v>
      </c>
      <c r="F24" s="3" t="inlineStr">
        <is>
          <t>Débito</t>
        </is>
      </c>
      <c r="G24" s="3" t="inlineStr">
        <is>
          <t>Marketing e Publicidade - Sem NF</t>
        </is>
      </c>
      <c r="H24" s="3" t="inlineStr">
        <is>
          <t>2025-09</t>
        </is>
      </c>
      <c r="I24" s="3" t="n"/>
      <c r="J24" s="3" t="n"/>
    </row>
    <row r="25">
      <c r="A25" s="6" t="n">
        <v>45905</v>
      </c>
      <c r="B25" s="3" t="inlineStr">
        <is>
          <t>Marketing &amp; Growth Expenses</t>
        </is>
      </c>
      <c r="C25" s="3" t="n"/>
      <c r="D25" s="3" t="inlineStr">
        <is>
          <t>Maiane Isla Cunha Carvalho - Transferência | Pix</t>
        </is>
      </c>
      <c r="E25" s="3" t="n">
        <v>-822</v>
      </c>
      <c r="F25" s="3" t="inlineStr">
        <is>
          <t>Débito</t>
        </is>
      </c>
      <c r="G25" s="3" t="inlineStr">
        <is>
          <t>Marketing e Publicidade - Sem NF</t>
        </is>
      </c>
      <c r="H25" s="3" t="inlineStr">
        <is>
          <t>2025-09</t>
        </is>
      </c>
      <c r="I25" s="3" t="n"/>
      <c r="J25" s="3" t="n"/>
    </row>
    <row r="26">
      <c r="A26" s="6" t="n">
        <v>45905</v>
      </c>
      <c r="B26" s="3" t="inlineStr">
        <is>
          <t>Marketing &amp; Growth Expenses</t>
        </is>
      </c>
      <c r="C26" s="3" t="n"/>
      <c r="D26" s="3" t="inlineStr">
        <is>
          <t>MATHEUS HERDY DA SILVA DE SOUZA - Transferência | Pix</t>
        </is>
      </c>
      <c r="E26" s="3" t="n">
        <v>-812</v>
      </c>
      <c r="F26" s="3" t="inlineStr">
        <is>
          <t>Débito</t>
        </is>
      </c>
      <c r="G26" s="3" t="inlineStr">
        <is>
          <t>Marketing e Publicidade - Sem NF</t>
        </is>
      </c>
      <c r="H26" s="3" t="inlineStr">
        <is>
          <t>2025-09</t>
        </is>
      </c>
      <c r="I26" s="3" t="n"/>
      <c r="J26" s="3" t="n"/>
    </row>
    <row r="27">
      <c r="A27" s="6" t="n">
        <v>45905</v>
      </c>
      <c r="B27" s="3" t="inlineStr">
        <is>
          <t>Marketing &amp; Growth Expenses</t>
        </is>
      </c>
      <c r="C27" s="3" t="n"/>
      <c r="D27" s="3" t="inlineStr">
        <is>
          <t>RYAN TAVARES ARAUJO - Transferência | Pix</t>
        </is>
      </c>
      <c r="E27" s="3" t="n">
        <v>-806</v>
      </c>
      <c r="F27" s="3" t="inlineStr">
        <is>
          <t>Débito</t>
        </is>
      </c>
      <c r="G27" s="3" t="inlineStr">
        <is>
          <t>Marketing e Publicidade - Sem NF</t>
        </is>
      </c>
      <c r="H27" s="3" t="inlineStr">
        <is>
          <t>2025-09</t>
        </is>
      </c>
      <c r="I27" s="3" t="n"/>
      <c r="J27" s="3" t="n"/>
    </row>
    <row r="28">
      <c r="A28" s="6" t="n">
        <v>45905</v>
      </c>
      <c r="B28" s="3" t="inlineStr">
        <is>
          <t>Marketing &amp; Growth Expenses</t>
        </is>
      </c>
      <c r="C28" s="3" t="n"/>
      <c r="D28" s="3" t="inlineStr">
        <is>
          <t>Yasmin Cordeiro Santos - Transferência | Pix</t>
        </is>
      </c>
      <c r="E28" s="3" t="n">
        <v>-758</v>
      </c>
      <c r="F28" s="3" t="inlineStr">
        <is>
          <t>Débito</t>
        </is>
      </c>
      <c r="G28" s="3" t="inlineStr">
        <is>
          <t>Marketing e Publicidade - Sem NF</t>
        </is>
      </c>
      <c r="H28" s="3" t="inlineStr">
        <is>
          <t>2025-09</t>
        </is>
      </c>
      <c r="I28" s="3" t="n"/>
      <c r="J28" s="3" t="n"/>
    </row>
    <row r="29">
      <c r="A29" s="6" t="n">
        <v>45905</v>
      </c>
      <c r="B29" s="3" t="inlineStr">
        <is>
          <t>Marketing &amp; Growth Expenses</t>
        </is>
      </c>
      <c r="C29" s="3" t="n"/>
      <c r="D29" s="3" t="inlineStr">
        <is>
          <t>JOAO VICENTE NEVES PIMENTA - Transferência | Pix</t>
        </is>
      </c>
      <c r="E29" s="3" t="n">
        <v>-726</v>
      </c>
      <c r="F29" s="3" t="inlineStr">
        <is>
          <t>Débito</t>
        </is>
      </c>
      <c r="G29" s="3" t="inlineStr">
        <is>
          <t>Marketing e Publicidade - Sem NF</t>
        </is>
      </c>
      <c r="H29" s="3" t="inlineStr">
        <is>
          <t>2025-09</t>
        </is>
      </c>
      <c r="I29" s="3" t="n"/>
      <c r="J29" s="3" t="n"/>
    </row>
    <row r="30">
      <c r="A30" s="6" t="n">
        <v>45905</v>
      </c>
      <c r="B30" s="3" t="inlineStr">
        <is>
          <t>Marketing &amp; Growth Expenses</t>
        </is>
      </c>
      <c r="C30" s="3" t="n"/>
      <c r="D30" s="3" t="inlineStr">
        <is>
          <t>RAPHAEL AUGUSTO DO PRADO ALVES SANTOS - Transferência | Pix</t>
        </is>
      </c>
      <c r="E30" s="3" t="n">
        <v>-672</v>
      </c>
      <c r="F30" s="3" t="inlineStr">
        <is>
          <t>Débito</t>
        </is>
      </c>
      <c r="G30" s="3" t="inlineStr">
        <is>
          <t>Marketing e Publicidade - Sem NF</t>
        </is>
      </c>
      <c r="H30" s="3" t="inlineStr">
        <is>
          <t>2025-09</t>
        </is>
      </c>
      <c r="I30" s="3" t="n"/>
      <c r="J30" s="3" t="n"/>
    </row>
    <row r="31">
      <c r="A31" s="6" t="n">
        <v>45905</v>
      </c>
      <c r="B31" s="3" t="inlineStr">
        <is>
          <t>Marketing &amp; Growth Expenses</t>
        </is>
      </c>
      <c r="C31" s="3" t="n"/>
      <c r="D31" s="3" t="inlineStr">
        <is>
          <t>Mylenna da Silva de Lima - Transferência | Pix</t>
        </is>
      </c>
      <c r="E31" s="3" t="n">
        <v>-796</v>
      </c>
      <c r="F31" s="3" t="inlineStr">
        <is>
          <t>Débito</t>
        </is>
      </c>
      <c r="G31" s="3" t="inlineStr">
        <is>
          <t>Marketing e Publicidade - Sem NF</t>
        </is>
      </c>
      <c r="H31" s="3" t="inlineStr">
        <is>
          <t>2025-09</t>
        </is>
      </c>
      <c r="I31" s="3" t="n"/>
      <c r="J31" s="3" t="n"/>
    </row>
    <row r="32">
      <c r="A32" s="6" t="n">
        <v>45905</v>
      </c>
      <c r="B32" s="3" t="inlineStr">
        <is>
          <t>Marketing &amp; Growth Expenses</t>
        </is>
      </c>
      <c r="C32" s="3" t="n"/>
      <c r="D32" s="3" t="inlineStr">
        <is>
          <t>RAFAEL MINGRONE MORALES - Transferência | Pix</t>
        </is>
      </c>
      <c r="E32" s="3" t="n">
        <v>-664</v>
      </c>
      <c r="F32" s="3" t="inlineStr">
        <is>
          <t>Débito</t>
        </is>
      </c>
      <c r="G32" s="3" t="inlineStr">
        <is>
          <t>Marketing e Publicidade - Sem NF</t>
        </is>
      </c>
      <c r="H32" s="3" t="inlineStr">
        <is>
          <t>2025-09</t>
        </is>
      </c>
      <c r="I32" s="3" t="n"/>
      <c r="J32" s="3" t="n"/>
    </row>
    <row r="33">
      <c r="A33" s="6" t="n">
        <v>45905</v>
      </c>
      <c r="B33" s="3" t="inlineStr">
        <is>
          <t>Marketing &amp; Growth Expenses</t>
        </is>
      </c>
      <c r="C33" s="3" t="n"/>
      <c r="D33" s="3" t="inlineStr">
        <is>
          <t>RODRIGO DE OLIVEIRA ROBERTO - Transferência | Pix</t>
        </is>
      </c>
      <c r="E33" s="3" t="n">
        <v>-670</v>
      </c>
      <c r="F33" s="3" t="inlineStr">
        <is>
          <t>Débito</t>
        </is>
      </c>
      <c r="G33" s="3" t="inlineStr">
        <is>
          <t>Marketing e Publicidade - Sem NF</t>
        </is>
      </c>
      <c r="H33" s="3" t="inlineStr">
        <is>
          <t>2025-09</t>
        </is>
      </c>
      <c r="I33" s="3" t="n"/>
      <c r="J33" s="3" t="n"/>
    </row>
    <row r="34">
      <c r="A34" s="6" t="n">
        <v>45905</v>
      </c>
      <c r="B34" s="3" t="inlineStr">
        <is>
          <t>Marketing &amp; Growth Expenses</t>
        </is>
      </c>
      <c r="C34" s="3" t="n"/>
      <c r="D34" s="3" t="inlineStr">
        <is>
          <t>Rejane Herdy da Silva - Transferência | Pix</t>
        </is>
      </c>
      <c r="E34" s="3" t="n">
        <v>-644</v>
      </c>
      <c r="F34" s="3" t="inlineStr">
        <is>
          <t>Débito</t>
        </is>
      </c>
      <c r="G34" s="3" t="inlineStr">
        <is>
          <t>Marketing e Publicidade - Sem NF</t>
        </is>
      </c>
      <c r="H34" s="3" t="inlineStr">
        <is>
          <t>2025-09</t>
        </is>
      </c>
      <c r="I34" s="3" t="n"/>
      <c r="J34" s="3" t="n"/>
    </row>
    <row r="35">
      <c r="A35" s="6" t="n">
        <v>45905</v>
      </c>
      <c r="B35" s="3" t="inlineStr">
        <is>
          <t>Marketing &amp; Growth Expenses</t>
        </is>
      </c>
      <c r="C35" s="3" t="n"/>
      <c r="D35" s="3" t="inlineStr">
        <is>
          <t>JOSE HENRIQUE MATIAS FERNANDES - Transferência | Pix</t>
        </is>
      </c>
      <c r="E35" s="3" t="n">
        <v>-642</v>
      </c>
      <c r="F35" s="3" t="inlineStr">
        <is>
          <t>Débito</t>
        </is>
      </c>
      <c r="G35" s="3" t="inlineStr">
        <is>
          <t>Marketing e Publicidade - Sem NF</t>
        </is>
      </c>
      <c r="H35" s="3" t="inlineStr">
        <is>
          <t>2025-09</t>
        </is>
      </c>
      <c r="I35" s="3" t="n"/>
      <c r="J35" s="3" t="n"/>
    </row>
    <row r="36">
      <c r="A36" s="6" t="n">
        <v>45905</v>
      </c>
      <c r="B36" s="3" t="inlineStr">
        <is>
          <t>Marketing &amp; Growth Expenses</t>
        </is>
      </c>
      <c r="C36" s="3" t="n"/>
      <c r="D36" s="3" t="inlineStr">
        <is>
          <t>THALGY DE OLIVEIRA LINO - Transferência | Pix</t>
        </is>
      </c>
      <c r="E36" s="3" t="n">
        <v>-614</v>
      </c>
      <c r="F36" s="3" t="inlineStr">
        <is>
          <t>Débito</t>
        </is>
      </c>
      <c r="G36" s="3" t="inlineStr">
        <is>
          <t>Marketing e Publicidade - Sem NF</t>
        </is>
      </c>
      <c r="H36" s="3" t="inlineStr">
        <is>
          <t>2025-09</t>
        </is>
      </c>
      <c r="I36" s="3" t="n"/>
      <c r="J36" s="3" t="n"/>
    </row>
    <row r="37">
      <c r="A37" s="6" t="n">
        <v>45905</v>
      </c>
      <c r="B37" s="3" t="inlineStr">
        <is>
          <t>Marketing &amp; Growth Expenses</t>
        </is>
      </c>
      <c r="C37" s="3" t="n"/>
      <c r="D37" s="3" t="inlineStr">
        <is>
          <t>Leticia Mora Carretero - Transferência | Pix</t>
        </is>
      </c>
      <c r="E37" s="3" t="n">
        <v>-610</v>
      </c>
      <c r="F37" s="3" t="inlineStr">
        <is>
          <t>Débito</t>
        </is>
      </c>
      <c r="G37" s="3" t="inlineStr">
        <is>
          <t>Marketing e Publicidade - Sem NF</t>
        </is>
      </c>
      <c r="H37" s="3" t="inlineStr">
        <is>
          <t>2025-09</t>
        </is>
      </c>
      <c r="I37" s="3" t="n"/>
      <c r="J37" s="3" t="n"/>
    </row>
    <row r="38">
      <c r="A38" s="6" t="n">
        <v>45905</v>
      </c>
      <c r="B38" s="3" t="inlineStr">
        <is>
          <t>Marketing &amp; Growth Expenses</t>
        </is>
      </c>
      <c r="C38" s="3" t="n"/>
      <c r="D38" s="3" t="inlineStr">
        <is>
          <t>Bruno Andriata Pereira - Transferência | Pix</t>
        </is>
      </c>
      <c r="E38" s="3" t="n">
        <v>-604</v>
      </c>
      <c r="F38" s="3" t="inlineStr">
        <is>
          <t>Débito</t>
        </is>
      </c>
      <c r="G38" s="3" t="inlineStr">
        <is>
          <t>Marketing e Publicidade - Sem NF</t>
        </is>
      </c>
      <c r="H38" s="3" t="inlineStr">
        <is>
          <t>2025-09</t>
        </is>
      </c>
      <c r="I38" s="3" t="n"/>
      <c r="J38" s="3" t="n"/>
    </row>
    <row r="39">
      <c r="A39" s="6" t="n">
        <v>45905</v>
      </c>
      <c r="B39" s="3" t="inlineStr">
        <is>
          <t>Marketing &amp; Growth Expenses</t>
        </is>
      </c>
      <c r="C39" s="3" t="n"/>
      <c r="D39" s="3" t="inlineStr">
        <is>
          <t>LUIZ EDUARDO BARBOSA LIMA - Transferência | Pix</t>
        </is>
      </c>
      <c r="E39" s="3" t="n">
        <v>-608</v>
      </c>
      <c r="F39" s="3" t="inlineStr">
        <is>
          <t>Débito</t>
        </is>
      </c>
      <c r="G39" s="3" t="inlineStr">
        <is>
          <t>Marketing e Publicidade - Sem NF</t>
        </is>
      </c>
      <c r="H39" s="3" t="inlineStr">
        <is>
          <t>2025-09</t>
        </is>
      </c>
      <c r="I39" s="3" t="n"/>
      <c r="J39" s="3" t="n"/>
    </row>
    <row r="40">
      <c r="A40" s="6" t="n">
        <v>45905</v>
      </c>
      <c r="B40" s="3" t="inlineStr">
        <is>
          <t>Marketing &amp; Growth Expenses</t>
        </is>
      </c>
      <c r="C40" s="3" t="n"/>
      <c r="D40" s="3" t="inlineStr">
        <is>
          <t>PEDRO REBOUCAS DOS SANTOS - Transferência | Pix</t>
        </is>
      </c>
      <c r="E40" s="3" t="n">
        <v>-604</v>
      </c>
      <c r="F40" s="3" t="inlineStr">
        <is>
          <t>Débito</t>
        </is>
      </c>
      <c r="G40" s="3" t="inlineStr">
        <is>
          <t>Marketing e Publicidade - Sem NF</t>
        </is>
      </c>
      <c r="H40" s="3" t="inlineStr">
        <is>
          <t>2025-09</t>
        </is>
      </c>
      <c r="I40" s="3" t="n"/>
      <c r="J40" s="3" t="n"/>
    </row>
    <row r="41">
      <c r="A41" s="6" t="n">
        <v>45905</v>
      </c>
      <c r="B41" s="3" t="inlineStr">
        <is>
          <t>Marketing &amp; Growth Expenses</t>
        </is>
      </c>
      <c r="C41" s="3" t="n"/>
      <c r="D41" s="3" t="inlineStr">
        <is>
          <t>SABRINA SANTOS DE SANTANA - Transferência | Pix</t>
        </is>
      </c>
      <c r="E41" s="3" t="n">
        <v>-586</v>
      </c>
      <c r="F41" s="3" t="inlineStr">
        <is>
          <t>Débito</t>
        </is>
      </c>
      <c r="G41" s="3" t="inlineStr">
        <is>
          <t>Marketing e Publicidade - Sem NF</t>
        </is>
      </c>
      <c r="H41" s="3" t="inlineStr">
        <is>
          <t>2025-09</t>
        </is>
      </c>
      <c r="I41" s="3" t="n"/>
      <c r="J41" s="3" t="n"/>
    </row>
    <row r="42">
      <c r="A42" s="6" t="n">
        <v>45905</v>
      </c>
      <c r="B42" s="3" t="inlineStr">
        <is>
          <t>Marketing &amp; Growth Expenses</t>
        </is>
      </c>
      <c r="C42" s="3" t="n"/>
      <c r="D42" s="3" t="inlineStr">
        <is>
          <t>JULIA CAMPOS DA SILVA DE OLIVEIRA - Transferência | Pix</t>
        </is>
      </c>
      <c r="E42" s="3" t="n">
        <v>-576</v>
      </c>
      <c r="F42" s="3" t="inlineStr">
        <is>
          <t>Débito</t>
        </is>
      </c>
      <c r="G42" s="3" t="inlineStr">
        <is>
          <t>Marketing e Publicidade - Sem NF</t>
        </is>
      </c>
      <c r="H42" s="3" t="inlineStr">
        <is>
          <t>2025-09</t>
        </is>
      </c>
      <c r="I42" s="3" t="n"/>
      <c r="J42" s="3" t="n"/>
    </row>
    <row r="43">
      <c r="A43" s="6" t="n">
        <v>45905</v>
      </c>
      <c r="B43" s="3" t="inlineStr">
        <is>
          <t>Marketing &amp; Growth Expenses</t>
        </is>
      </c>
      <c r="C43" s="3" t="n"/>
      <c r="D43" s="3" t="inlineStr">
        <is>
          <t>CLAUDIANA FERREIRA DE JESUS - Transferência | Pix</t>
        </is>
      </c>
      <c r="E43" s="3" t="n">
        <v>-542</v>
      </c>
      <c r="F43" s="3" t="inlineStr">
        <is>
          <t>Débito</t>
        </is>
      </c>
      <c r="G43" s="3" t="inlineStr">
        <is>
          <t>Marketing e Publicidade - Sem NF</t>
        </is>
      </c>
      <c r="H43" s="3" t="inlineStr">
        <is>
          <t>2025-09</t>
        </is>
      </c>
      <c r="I43" s="3" t="n"/>
      <c r="J43" s="3" t="n"/>
    </row>
    <row r="44">
      <c r="A44" s="6" t="n">
        <v>45905</v>
      </c>
      <c r="B44" s="3" t="inlineStr">
        <is>
          <t>Marketing &amp; Growth Expenses</t>
        </is>
      </c>
      <c r="C44" s="3" t="n"/>
      <c r="D44" s="3" t="inlineStr">
        <is>
          <t>Hanna Gabrielle Ferreira Dos Santos - Transferência | Pix</t>
        </is>
      </c>
      <c r="E44" s="3" t="n">
        <v>-572</v>
      </c>
      <c r="F44" s="3" t="inlineStr">
        <is>
          <t>Débito</t>
        </is>
      </c>
      <c r="G44" s="3" t="inlineStr">
        <is>
          <t>Marketing e Publicidade - Sem NF</t>
        </is>
      </c>
      <c r="H44" s="3" t="inlineStr">
        <is>
          <t>2025-09</t>
        </is>
      </c>
      <c r="I44" s="3" t="n"/>
      <c r="J44" s="3" t="n"/>
    </row>
    <row r="45">
      <c r="A45" s="6" t="n">
        <v>45905</v>
      </c>
      <c r="B45" s="3" t="inlineStr">
        <is>
          <t>Marketing &amp; Growth Expenses</t>
        </is>
      </c>
      <c r="C45" s="3" t="n"/>
      <c r="D45" s="3" t="inlineStr">
        <is>
          <t>Giulian Ellen Goulart de Sousa - Transferência | Pix</t>
        </is>
      </c>
      <c r="E45" s="3" t="n">
        <v>-558</v>
      </c>
      <c r="F45" s="3" t="inlineStr">
        <is>
          <t>Débito</t>
        </is>
      </c>
      <c r="G45" s="3" t="inlineStr">
        <is>
          <t>Marketing e Publicidade - Sem NF</t>
        </is>
      </c>
      <c r="H45" s="3" t="inlineStr">
        <is>
          <t>2025-09</t>
        </is>
      </c>
      <c r="I45" s="3" t="n"/>
      <c r="J45" s="3" t="n"/>
    </row>
    <row r="46">
      <c r="A46" s="6" t="n">
        <v>45905</v>
      </c>
      <c r="B46" s="3" t="inlineStr">
        <is>
          <t>Marketing &amp; Growth Expenses</t>
        </is>
      </c>
      <c r="C46" s="3" t="n"/>
      <c r="D46" s="3" t="inlineStr">
        <is>
          <t>MARCIELI BALDIN - Transferência | Pix</t>
        </is>
      </c>
      <c r="E46" s="3" t="n">
        <v>-542</v>
      </c>
      <c r="F46" s="3" t="inlineStr">
        <is>
          <t>Débito</t>
        </is>
      </c>
      <c r="G46" s="3" t="inlineStr">
        <is>
          <t>Marketing e Publicidade - Sem NF</t>
        </is>
      </c>
      <c r="H46" s="3" t="inlineStr">
        <is>
          <t>2025-09</t>
        </is>
      </c>
      <c r="I46" s="3" t="n"/>
      <c r="J46" s="3" t="n"/>
    </row>
    <row r="47">
      <c r="A47" s="6" t="n">
        <v>45905</v>
      </c>
      <c r="B47" s="3" t="inlineStr">
        <is>
          <t>Marketing &amp; Growth Expenses</t>
        </is>
      </c>
      <c r="C47" s="3" t="n"/>
      <c r="D47" s="3" t="inlineStr">
        <is>
          <t>PEDRO HENRIQUE BOARATI DE OLIVEIRA - Transferência | Pix</t>
        </is>
      </c>
      <c r="E47" s="3" t="n">
        <v>-538</v>
      </c>
      <c r="F47" s="3" t="inlineStr">
        <is>
          <t>Débito</t>
        </is>
      </c>
      <c r="G47" s="3" t="inlineStr">
        <is>
          <t>Marketing e Publicidade - Sem NF</t>
        </is>
      </c>
      <c r="H47" s="3" t="inlineStr">
        <is>
          <t>2025-09</t>
        </is>
      </c>
      <c r="I47" s="3" t="n"/>
      <c r="J47" s="3" t="n"/>
    </row>
    <row r="48">
      <c r="A48" s="6" t="n">
        <v>45905</v>
      </c>
      <c r="B48" s="3" t="inlineStr">
        <is>
          <t>Marketing &amp; Growth Expenses</t>
        </is>
      </c>
      <c r="C48" s="3" t="n"/>
      <c r="D48" s="3" t="inlineStr">
        <is>
          <t>Evaneilde Pereira Dos Santos - Transferência | Pix</t>
        </is>
      </c>
      <c r="E48" s="3" t="n">
        <v>-554</v>
      </c>
      <c r="F48" s="3" t="inlineStr">
        <is>
          <t>Débito</t>
        </is>
      </c>
      <c r="G48" s="3" t="inlineStr">
        <is>
          <t>Marketing e Publicidade - Sem NF</t>
        </is>
      </c>
      <c r="H48" s="3" t="inlineStr">
        <is>
          <t>2025-09</t>
        </is>
      </c>
      <c r="I48" s="3" t="n"/>
      <c r="J48" s="3" t="n"/>
    </row>
    <row r="49">
      <c r="A49" s="6" t="n">
        <v>45905</v>
      </c>
      <c r="B49" s="3" t="inlineStr">
        <is>
          <t>Marketing &amp; Growth Expenses</t>
        </is>
      </c>
      <c r="C49" s="3" t="n"/>
      <c r="D49" s="3" t="inlineStr">
        <is>
          <t>Vitoria Rodrigues da Silveira - Transferência | Pix</t>
        </is>
      </c>
      <c r="E49" s="3" t="n">
        <v>-532</v>
      </c>
      <c r="F49" s="3" t="inlineStr">
        <is>
          <t>Débito</t>
        </is>
      </c>
      <c r="G49" s="3" t="inlineStr">
        <is>
          <t>Marketing e Publicidade - Sem NF</t>
        </is>
      </c>
      <c r="H49" s="3" t="inlineStr">
        <is>
          <t>2025-09</t>
        </is>
      </c>
      <c r="I49" s="3" t="n"/>
      <c r="J49" s="3" t="n"/>
    </row>
    <row r="50">
      <c r="A50" s="6" t="n">
        <v>45905</v>
      </c>
      <c r="B50" s="3" t="inlineStr">
        <is>
          <t>Marketing &amp; Growth Expenses</t>
        </is>
      </c>
      <c r="C50" s="3" t="n"/>
      <c r="D50" s="3" t="inlineStr">
        <is>
          <t>Wesley Guilherme Vieira - Transferência | Pix</t>
        </is>
      </c>
      <c r="E50" s="3" t="n">
        <v>-532</v>
      </c>
      <c r="F50" s="3" t="inlineStr">
        <is>
          <t>Débito</t>
        </is>
      </c>
      <c r="G50" s="3" t="inlineStr">
        <is>
          <t>Marketing e Publicidade - Sem NF</t>
        </is>
      </c>
      <c r="H50" s="3" t="inlineStr">
        <is>
          <t>2025-09</t>
        </is>
      </c>
      <c r="I50" s="3" t="n"/>
      <c r="J50" s="3" t="n"/>
    </row>
    <row r="51">
      <c r="A51" s="6" t="n">
        <v>45905</v>
      </c>
      <c r="B51" s="3" t="inlineStr">
        <is>
          <t>Marketing &amp; Growth Expenses</t>
        </is>
      </c>
      <c r="C51" s="3" t="n"/>
      <c r="D51" s="3" t="inlineStr">
        <is>
          <t>Willian Tomaz de Andrade - Transferência | Pix</t>
        </is>
      </c>
      <c r="E51" s="3" t="n">
        <v>-528</v>
      </c>
      <c r="F51" s="3" t="inlineStr">
        <is>
          <t>Débito</t>
        </is>
      </c>
      <c r="G51" s="3" t="inlineStr">
        <is>
          <t>Marketing e Publicidade - Sem NF</t>
        </is>
      </c>
      <c r="H51" s="3" t="inlineStr">
        <is>
          <t>2025-09</t>
        </is>
      </c>
      <c r="I51" s="3" t="n"/>
      <c r="J51" s="3" t="n"/>
    </row>
    <row r="52">
      <c r="A52" s="6" t="n">
        <v>45905</v>
      </c>
      <c r="B52" s="3" t="inlineStr">
        <is>
          <t>Marketing &amp; Growth Expenses</t>
        </is>
      </c>
      <c r="C52" s="3" t="n"/>
      <c r="D52" s="3" t="inlineStr">
        <is>
          <t>GIULIA DOS SANTOS REBELLO - Transferência | Pix</t>
        </is>
      </c>
      <c r="E52" s="3" t="n">
        <v>-518</v>
      </c>
      <c r="F52" s="3" t="inlineStr">
        <is>
          <t>Débito</t>
        </is>
      </c>
      <c r="G52" s="3" t="inlineStr">
        <is>
          <t>Marketing e Publicidade - Sem NF</t>
        </is>
      </c>
      <c r="H52" s="3" t="inlineStr">
        <is>
          <t>2025-09</t>
        </is>
      </c>
      <c r="I52" s="3" t="n"/>
      <c r="J52" s="3" t="n"/>
    </row>
    <row r="53">
      <c r="A53" s="6" t="n">
        <v>45905</v>
      </c>
      <c r="B53" s="3" t="inlineStr">
        <is>
          <t>Marketing &amp; Growth Expenses</t>
        </is>
      </c>
      <c r="C53" s="3" t="n"/>
      <c r="D53" s="3" t="inlineStr">
        <is>
          <t>Jeferson Herdy da Silva Souza - Transferência | Pix</t>
        </is>
      </c>
      <c r="E53" s="3" t="n">
        <v>-512</v>
      </c>
      <c r="F53" s="3" t="inlineStr">
        <is>
          <t>Débito</t>
        </is>
      </c>
      <c r="G53" s="3" t="inlineStr">
        <is>
          <t>Marketing e Publicidade - Sem NF</t>
        </is>
      </c>
      <c r="H53" s="3" t="inlineStr">
        <is>
          <t>2025-09</t>
        </is>
      </c>
      <c r="I53" s="3" t="n"/>
      <c r="J53" s="3" t="n"/>
    </row>
    <row r="54">
      <c r="A54" s="6" t="n">
        <v>45905</v>
      </c>
      <c r="B54" s="3" t="inlineStr">
        <is>
          <t>Marketing &amp; Growth Expenses</t>
        </is>
      </c>
      <c r="C54" s="3" t="n"/>
      <c r="D54" s="3" t="inlineStr">
        <is>
          <t>FABRICIO FERREIRA LINO - Transferência | Pix</t>
        </is>
      </c>
      <c r="E54" s="3" t="n">
        <v>-510</v>
      </c>
      <c r="F54" s="3" t="inlineStr">
        <is>
          <t>Débito</t>
        </is>
      </c>
      <c r="G54" s="3" t="inlineStr">
        <is>
          <t>Marketing e Publicidade - Sem NF</t>
        </is>
      </c>
      <c r="H54" s="3" t="inlineStr">
        <is>
          <t>2025-09</t>
        </is>
      </c>
      <c r="I54" s="3" t="n"/>
      <c r="J54" s="3" t="n"/>
    </row>
    <row r="55">
      <c r="A55" s="6" t="n">
        <v>45905</v>
      </c>
      <c r="B55" s="3" t="inlineStr">
        <is>
          <t>Marketing &amp; Growth Expenses</t>
        </is>
      </c>
      <c r="C55" s="3" t="n"/>
      <c r="D55" s="3" t="inlineStr">
        <is>
          <t>Clarice dos Santos Ferreira Cruz - Transferência | Pix</t>
        </is>
      </c>
      <c r="E55" s="3" t="n">
        <v>-506</v>
      </c>
      <c r="F55" s="3" t="inlineStr">
        <is>
          <t>Débito</t>
        </is>
      </c>
      <c r="G55" s="3" t="inlineStr">
        <is>
          <t>Marketing e Publicidade - Sem NF</t>
        </is>
      </c>
      <c r="H55" s="3" t="inlineStr">
        <is>
          <t>2025-09</t>
        </is>
      </c>
      <c r="I55" s="3" t="n"/>
      <c r="J55" s="3" t="n"/>
    </row>
    <row r="56">
      <c r="A56" s="6" t="n">
        <v>45905</v>
      </c>
      <c r="B56" s="3" t="inlineStr">
        <is>
          <t>Marketing &amp; Growth Expenses</t>
        </is>
      </c>
      <c r="C56" s="3" t="n"/>
      <c r="D56" s="3" t="inlineStr">
        <is>
          <t>Janaina Campos da Silva de Oliveira - Transferência | Pix</t>
        </is>
      </c>
      <c r="E56" s="3" t="n">
        <v>-486</v>
      </c>
      <c r="F56" s="3" t="inlineStr">
        <is>
          <t>Débito</t>
        </is>
      </c>
      <c r="G56" s="3" t="inlineStr">
        <is>
          <t>Marketing e Publicidade - Sem NF</t>
        </is>
      </c>
      <c r="H56" s="3" t="inlineStr">
        <is>
          <t>2025-09</t>
        </is>
      </c>
      <c r="I56" s="3" t="n"/>
      <c r="J56" s="3" t="n"/>
    </row>
    <row r="57">
      <c r="A57" s="6" t="n">
        <v>45905</v>
      </c>
      <c r="B57" s="3" t="inlineStr">
        <is>
          <t>Marketing &amp; Growth Expenses</t>
        </is>
      </c>
      <c r="C57" s="3" t="n"/>
      <c r="D57" s="3" t="inlineStr">
        <is>
          <t>Evaneilde Pereira dos Santos - Transferência | Pix</t>
        </is>
      </c>
      <c r="E57" s="3" t="n">
        <v>-480</v>
      </c>
      <c r="F57" s="3" t="inlineStr">
        <is>
          <t>Débito</t>
        </is>
      </c>
      <c r="G57" s="3" t="inlineStr">
        <is>
          <t>Marketing e Publicidade - Sem NF</t>
        </is>
      </c>
      <c r="H57" s="3" t="inlineStr">
        <is>
          <t>2025-09</t>
        </is>
      </c>
      <c r="I57" s="3" t="n"/>
      <c r="J57" s="3" t="n"/>
    </row>
    <row r="58">
      <c r="A58" s="6" t="n">
        <v>45905</v>
      </c>
      <c r="B58" s="3" t="inlineStr">
        <is>
          <t>Marketing &amp; Growth Expenses</t>
        </is>
      </c>
      <c r="C58" s="3" t="n"/>
      <c r="D58" s="3" t="inlineStr">
        <is>
          <t>Paulo Sergio de Oliveira Filho - Transferência | Pix</t>
        </is>
      </c>
      <c r="E58" s="3" t="n">
        <v>-478</v>
      </c>
      <c r="F58" s="3" t="inlineStr">
        <is>
          <t>Débito</t>
        </is>
      </c>
      <c r="G58" s="3" t="inlineStr">
        <is>
          <t>Marketing e Publicidade - Sem NF</t>
        </is>
      </c>
      <c r="H58" s="3" t="inlineStr">
        <is>
          <t>2025-09</t>
        </is>
      </c>
      <c r="I58" s="3" t="n"/>
      <c r="J58" s="3" t="n"/>
    </row>
    <row r="59">
      <c r="A59" s="6" t="n">
        <v>45905</v>
      </c>
      <c r="B59" s="3" t="inlineStr">
        <is>
          <t>Marketing &amp; Growth Expenses</t>
        </is>
      </c>
      <c r="C59" s="3" t="n"/>
      <c r="D59" s="3" t="inlineStr">
        <is>
          <t>Diego Takeshi Kawaguchi - Transferência | Pix</t>
        </is>
      </c>
      <c r="E59" s="3" t="n">
        <v>-466</v>
      </c>
      <c r="F59" s="3" t="inlineStr">
        <is>
          <t>Débito</t>
        </is>
      </c>
      <c r="G59" s="3" t="inlineStr">
        <is>
          <t>Marketing e Publicidade - Sem NF</t>
        </is>
      </c>
      <c r="H59" s="3" t="inlineStr">
        <is>
          <t>2025-09</t>
        </is>
      </c>
      <c r="I59" s="3" t="n"/>
      <c r="J59" s="3" t="n"/>
    </row>
    <row r="60">
      <c r="A60" s="6" t="n">
        <v>45905</v>
      </c>
      <c r="B60" s="3" t="inlineStr">
        <is>
          <t>Marketing &amp; Growth Expenses</t>
        </is>
      </c>
      <c r="C60" s="3" t="n"/>
      <c r="D60" s="3" t="inlineStr">
        <is>
          <t>Luis Fernando Silva Paiva - Transferência | Pix</t>
        </is>
      </c>
      <c r="E60" s="3" t="n">
        <v>-464</v>
      </c>
      <c r="F60" s="3" t="inlineStr">
        <is>
          <t>Débito</t>
        </is>
      </c>
      <c r="G60" s="3" t="inlineStr">
        <is>
          <t>Marketing e Publicidade - Sem NF</t>
        </is>
      </c>
      <c r="H60" s="3" t="inlineStr">
        <is>
          <t>2025-09</t>
        </is>
      </c>
      <c r="I60" s="3" t="n"/>
      <c r="J60" s="3" t="n"/>
    </row>
    <row r="61">
      <c r="A61" s="6" t="n">
        <v>45905</v>
      </c>
      <c r="B61" s="3" t="inlineStr">
        <is>
          <t>Marketing &amp; Growth Expenses</t>
        </is>
      </c>
      <c r="C61" s="3" t="n"/>
      <c r="D61" s="3" t="inlineStr">
        <is>
          <t>Nicoly Goncalves de Oliveira Silva - Transferência | Pix</t>
        </is>
      </c>
      <c r="E61" s="3" t="n">
        <v>-428</v>
      </c>
      <c r="F61" s="3" t="inlineStr">
        <is>
          <t>Débito</t>
        </is>
      </c>
      <c r="G61" s="3" t="inlineStr">
        <is>
          <t>Marketing e Publicidade - Sem NF</t>
        </is>
      </c>
      <c r="H61" s="3" t="inlineStr">
        <is>
          <t>2025-09</t>
        </is>
      </c>
      <c r="I61" s="3" t="n"/>
      <c r="J61" s="3" t="n"/>
    </row>
    <row r="62">
      <c r="A62" s="6" t="n">
        <v>45905</v>
      </c>
      <c r="B62" s="3" t="inlineStr">
        <is>
          <t>Marketing &amp; Growth Expenses</t>
        </is>
      </c>
      <c r="C62" s="3" t="n"/>
      <c r="D62" s="3" t="inlineStr">
        <is>
          <t>William Silas Bezerra Batista - Transferência | Pix</t>
        </is>
      </c>
      <c r="E62" s="3" t="n">
        <v>-424</v>
      </c>
      <c r="F62" s="3" t="inlineStr">
        <is>
          <t>Débito</t>
        </is>
      </c>
      <c r="G62" s="3" t="inlineStr">
        <is>
          <t>Marketing e Publicidade - Sem NF</t>
        </is>
      </c>
      <c r="H62" s="3" t="inlineStr">
        <is>
          <t>2025-09</t>
        </is>
      </c>
      <c r="I62" s="3" t="n"/>
      <c r="J62" s="3" t="n"/>
    </row>
    <row r="63">
      <c r="A63" s="6" t="n">
        <v>45905</v>
      </c>
      <c r="B63" s="3" t="inlineStr">
        <is>
          <t>Marketing &amp; Growth Expenses</t>
        </is>
      </c>
      <c r="C63" s="3" t="n"/>
      <c r="D63" s="3" t="inlineStr">
        <is>
          <t>Letycia Helloise dos Reis - Transferência | Pix</t>
        </is>
      </c>
      <c r="E63" s="3" t="n">
        <v>-456</v>
      </c>
      <c r="F63" s="3" t="inlineStr">
        <is>
          <t>Débito</t>
        </is>
      </c>
      <c r="G63" s="3" t="inlineStr">
        <is>
          <t>Marketing e Publicidade - Sem NF</t>
        </is>
      </c>
      <c r="H63" s="3" t="inlineStr">
        <is>
          <t>2025-09</t>
        </is>
      </c>
      <c r="I63" s="3" t="n"/>
      <c r="J63" s="3" t="n"/>
    </row>
    <row r="64">
      <c r="A64" s="6" t="n">
        <v>45905</v>
      </c>
      <c r="B64" s="3" t="inlineStr">
        <is>
          <t>Marketing &amp; Growth Expenses</t>
        </is>
      </c>
      <c r="C64" s="3" t="n"/>
      <c r="D64" s="3" t="inlineStr">
        <is>
          <t>Alessandra Luz Pinto - Transferência | Pix</t>
        </is>
      </c>
      <c r="E64" s="3" t="n">
        <v>-452</v>
      </c>
      <c r="F64" s="3" t="inlineStr">
        <is>
          <t>Débito</t>
        </is>
      </c>
      <c r="G64" s="3" t="inlineStr">
        <is>
          <t>Marketing e Publicidade - Sem NF</t>
        </is>
      </c>
      <c r="H64" s="3" t="inlineStr">
        <is>
          <t>2025-09</t>
        </is>
      </c>
      <c r="I64" s="3" t="n"/>
      <c r="J64" s="3" t="n"/>
    </row>
    <row r="65">
      <c r="A65" s="6" t="n">
        <v>45905</v>
      </c>
      <c r="B65" s="3" t="inlineStr">
        <is>
          <t>Marketing &amp; Growth Expenses</t>
        </is>
      </c>
      <c r="C65" s="3" t="n"/>
      <c r="D65" s="3" t="inlineStr">
        <is>
          <t>MATHEUS CUFFARI PEREIRA - Transferência | Pix</t>
        </is>
      </c>
      <c r="E65" s="3" t="n">
        <v>-436</v>
      </c>
      <c r="F65" s="3" t="inlineStr">
        <is>
          <t>Débito</t>
        </is>
      </c>
      <c r="G65" s="3" t="inlineStr">
        <is>
          <t>Marketing e Publicidade - Sem NF</t>
        </is>
      </c>
      <c r="H65" s="3" t="inlineStr">
        <is>
          <t>2025-09</t>
        </is>
      </c>
      <c r="I65" s="3" t="n"/>
      <c r="J65" s="3" t="n"/>
    </row>
    <row r="66">
      <c r="A66" s="6" t="n">
        <v>45905</v>
      </c>
      <c r="B66" s="3" t="inlineStr">
        <is>
          <t>Marketing &amp; Growth Expenses</t>
        </is>
      </c>
      <c r="C66" s="3" t="n"/>
      <c r="D66" s="3" t="inlineStr">
        <is>
          <t>LEONARDO FIGUEIREDO SILVA - Transferência | Pix</t>
        </is>
      </c>
      <c r="E66" s="3" t="n">
        <v>-432</v>
      </c>
      <c r="F66" s="3" t="inlineStr">
        <is>
          <t>Débito</t>
        </is>
      </c>
      <c r="G66" s="3" t="inlineStr">
        <is>
          <t>Marketing e Publicidade - Sem NF</t>
        </is>
      </c>
      <c r="H66" s="3" t="inlineStr">
        <is>
          <t>2025-09</t>
        </is>
      </c>
      <c r="I66" s="3" t="n"/>
      <c r="J66" s="3" t="n"/>
    </row>
    <row r="67">
      <c r="A67" s="6" t="n">
        <v>45905</v>
      </c>
      <c r="B67" s="3" t="inlineStr">
        <is>
          <t>Marketing &amp; Growth Expenses</t>
        </is>
      </c>
      <c r="C67" s="3" t="n"/>
      <c r="D67" s="3" t="inlineStr">
        <is>
          <t>MYRELLA DA SILVA DE LIMA - Transferência | Pix</t>
        </is>
      </c>
      <c r="E67" s="3" t="n">
        <v>-430</v>
      </c>
      <c r="F67" s="3" t="inlineStr">
        <is>
          <t>Débito</t>
        </is>
      </c>
      <c r="G67" s="3" t="inlineStr">
        <is>
          <t>Marketing e Publicidade - Sem NF</t>
        </is>
      </c>
      <c r="H67" s="3" t="inlineStr">
        <is>
          <t>2025-09</t>
        </is>
      </c>
      <c r="I67" s="3" t="n"/>
      <c r="J67" s="3" t="n"/>
    </row>
    <row r="68">
      <c r="A68" s="6" t="n">
        <v>45905</v>
      </c>
      <c r="B68" s="3" t="inlineStr">
        <is>
          <t>Marketing &amp; Growth Expenses</t>
        </is>
      </c>
      <c r="C68" s="3" t="n"/>
      <c r="D68" s="3" t="inlineStr">
        <is>
          <t>Sabrina Mathidios de Oliveira - Transferência | Pix</t>
        </is>
      </c>
      <c r="E68" s="3" t="n">
        <v>-430</v>
      </c>
      <c r="F68" s="3" t="inlineStr">
        <is>
          <t>Débito</t>
        </is>
      </c>
      <c r="G68" s="3" t="inlineStr">
        <is>
          <t>Marketing e Publicidade - Sem NF</t>
        </is>
      </c>
      <c r="H68" s="3" t="inlineStr">
        <is>
          <t>2025-09</t>
        </is>
      </c>
      <c r="I68" s="3" t="n"/>
      <c r="J68" s="3" t="n"/>
    </row>
    <row r="69">
      <c r="A69" s="6" t="n">
        <v>45905</v>
      </c>
      <c r="B69" s="3" t="inlineStr">
        <is>
          <t>Marketing &amp; Growth Expenses</t>
        </is>
      </c>
      <c r="C69" s="3" t="n"/>
      <c r="D69" s="3" t="inlineStr">
        <is>
          <t>Elian das Merces Ribeiro - Transferência | Pix</t>
        </is>
      </c>
      <c r="E69" s="3" t="n">
        <v>-416</v>
      </c>
      <c r="F69" s="3" t="inlineStr">
        <is>
          <t>Débito</t>
        </is>
      </c>
      <c r="G69" s="3" t="inlineStr">
        <is>
          <t>Marketing e Publicidade - Sem NF</t>
        </is>
      </c>
      <c r="H69" s="3" t="inlineStr">
        <is>
          <t>2025-09</t>
        </is>
      </c>
      <c r="I69" s="3" t="n"/>
      <c r="J69" s="3" t="n"/>
    </row>
    <row r="70">
      <c r="A70" s="6" t="n">
        <v>45905</v>
      </c>
      <c r="B70" s="3" t="inlineStr">
        <is>
          <t>Marketing &amp; Growth Expenses</t>
        </is>
      </c>
      <c r="C70" s="3" t="n"/>
      <c r="D70" s="3" t="inlineStr">
        <is>
          <t>GUILHERME BARIONI CRISTIOGLU - Transferência | Pix</t>
        </is>
      </c>
      <c r="E70" s="3" t="n">
        <v>-416</v>
      </c>
      <c r="F70" s="3" t="inlineStr">
        <is>
          <t>Débito</t>
        </is>
      </c>
      <c r="G70" s="3" t="inlineStr">
        <is>
          <t>Marketing e Publicidade - Sem NF</t>
        </is>
      </c>
      <c r="H70" s="3" t="inlineStr">
        <is>
          <t>2025-09</t>
        </is>
      </c>
      <c r="I70" s="3" t="n"/>
      <c r="J70" s="3" t="n"/>
    </row>
    <row r="71">
      <c r="A71" s="6" t="n">
        <v>45905</v>
      </c>
      <c r="B71" s="3" t="inlineStr">
        <is>
          <t>Marketing &amp; Growth Expenses</t>
        </is>
      </c>
      <c r="C71" s="3" t="n"/>
      <c r="D71" s="3" t="inlineStr">
        <is>
          <t>GUSTAVO PERGOLA COLOMBO - Transferência | Pix</t>
        </is>
      </c>
      <c r="E71" s="3" t="n">
        <v>-412</v>
      </c>
      <c r="F71" s="3" t="inlineStr">
        <is>
          <t>Débito</t>
        </is>
      </c>
      <c r="G71" s="3" t="inlineStr">
        <is>
          <t>Marketing e Publicidade - Sem NF</t>
        </is>
      </c>
      <c r="H71" s="3" t="inlineStr">
        <is>
          <t>2025-09</t>
        </is>
      </c>
      <c r="I71" s="3" t="n"/>
      <c r="J71" s="3" t="n"/>
    </row>
    <row r="72">
      <c r="A72" s="6" t="n">
        <v>45905</v>
      </c>
      <c r="B72" s="3" t="inlineStr">
        <is>
          <t>Marketing &amp; Growth Expenses</t>
        </is>
      </c>
      <c r="C72" s="3" t="n"/>
      <c r="D72" s="3" t="inlineStr">
        <is>
          <t>PEDRO HENRIQUE BOARATI DE OLIVEIRA - Transferência | Pix</t>
        </is>
      </c>
      <c r="E72" s="3" t="n">
        <v>-412</v>
      </c>
      <c r="F72" s="3" t="inlineStr">
        <is>
          <t>Débito</t>
        </is>
      </c>
      <c r="G72" s="3" t="inlineStr">
        <is>
          <t>Marketing e Publicidade - Sem NF</t>
        </is>
      </c>
      <c r="H72" s="3" t="inlineStr">
        <is>
          <t>2025-09</t>
        </is>
      </c>
      <c r="I72" s="3" t="n"/>
      <c r="J72" s="3" t="n"/>
    </row>
    <row r="73">
      <c r="A73" s="6" t="n">
        <v>45905</v>
      </c>
      <c r="B73" s="3" t="inlineStr">
        <is>
          <t>Marketing &amp; Growth Expenses</t>
        </is>
      </c>
      <c r="C73" s="3" t="n"/>
      <c r="D73" s="3" t="inlineStr">
        <is>
          <t>PEDRO HENRIQUE BOARATI DE OLIVEIRA - Transferência | Pix</t>
        </is>
      </c>
      <c r="E73" s="3" t="n">
        <v>-412</v>
      </c>
      <c r="F73" s="3" t="inlineStr">
        <is>
          <t>Débito</t>
        </is>
      </c>
      <c r="G73" s="3" t="inlineStr">
        <is>
          <t>Marketing e Publicidade - Sem NF</t>
        </is>
      </c>
      <c r="H73" s="3" t="inlineStr">
        <is>
          <t>2025-09</t>
        </is>
      </c>
      <c r="I73" s="3" t="n"/>
      <c r="J73" s="3" t="n"/>
    </row>
    <row r="74">
      <c r="A74" s="6" t="n">
        <v>45905</v>
      </c>
      <c r="B74" s="3" t="inlineStr">
        <is>
          <t>Marketing &amp; Growth Expenses</t>
        </is>
      </c>
      <c r="C74" s="3" t="n"/>
      <c r="D74" s="3" t="inlineStr">
        <is>
          <t>Delcinir Gomes Ribeiro - Transferência | Pix</t>
        </is>
      </c>
      <c r="E74" s="3" t="n">
        <v>-400</v>
      </c>
      <c r="F74" s="3" t="inlineStr">
        <is>
          <t>Débito</t>
        </is>
      </c>
      <c r="G74" s="3" t="inlineStr">
        <is>
          <t>Marketing e Publicidade - Sem NF</t>
        </is>
      </c>
      <c r="H74" s="3" t="inlineStr">
        <is>
          <t>2025-09</t>
        </is>
      </c>
      <c r="I74" s="3" t="n"/>
      <c r="J74" s="3" t="n"/>
    </row>
    <row r="75">
      <c r="A75" s="6" t="n">
        <v>45905</v>
      </c>
      <c r="B75" s="3" t="inlineStr">
        <is>
          <t>Marketing &amp; Growth Expenses</t>
        </is>
      </c>
      <c r="C75" s="3" t="n"/>
      <c r="D75" s="3" t="inlineStr">
        <is>
          <t>SANDRO DOUGLAS CARDOSO JUNIOR - Transferência | Pix</t>
        </is>
      </c>
      <c r="E75" s="3" t="n">
        <v>-412</v>
      </c>
      <c r="F75" s="3" t="inlineStr">
        <is>
          <t>Débito</t>
        </is>
      </c>
      <c r="G75" s="3" t="inlineStr">
        <is>
          <t>Marketing e Publicidade - Sem NF</t>
        </is>
      </c>
      <c r="H75" s="3" t="inlineStr">
        <is>
          <t>2025-09</t>
        </is>
      </c>
      <c r="I75" s="3" t="n"/>
      <c r="J75" s="3" t="n"/>
    </row>
    <row r="76">
      <c r="A76" s="6" t="n">
        <v>45905</v>
      </c>
      <c r="B76" s="3" t="inlineStr">
        <is>
          <t>Marketing &amp; Growth Expenses</t>
        </is>
      </c>
      <c r="C76" s="3" t="n"/>
      <c r="D76" s="3" t="inlineStr">
        <is>
          <t>Kaylane Cristina Marin Alves - Transferência | Pix</t>
        </is>
      </c>
      <c r="E76" s="3" t="n">
        <v>-134</v>
      </c>
      <c r="F76" s="3" t="inlineStr">
        <is>
          <t>Débito</t>
        </is>
      </c>
      <c r="G76" s="3" t="inlineStr">
        <is>
          <t>Marketing e Publicidade - Sem NF</t>
        </is>
      </c>
      <c r="H76" s="3" t="inlineStr">
        <is>
          <t>2025-09</t>
        </is>
      </c>
      <c r="I76" s="3" t="n"/>
      <c r="J76" s="3" t="n"/>
    </row>
    <row r="77">
      <c r="A77" s="6" t="n">
        <v>45905</v>
      </c>
      <c r="B77" s="3" t="inlineStr">
        <is>
          <t>Marketing &amp; Growth Expenses</t>
        </is>
      </c>
      <c r="C77" s="3" t="n"/>
      <c r="D77" s="3" t="inlineStr">
        <is>
          <t>NICOLE RODRIGUES DA SILVA - Transferência | Pix</t>
        </is>
      </c>
      <c r="E77" s="3" t="n">
        <v>-356</v>
      </c>
      <c r="F77" s="3" t="inlineStr">
        <is>
          <t>Débito</t>
        </is>
      </c>
      <c r="G77" s="3" t="inlineStr">
        <is>
          <t>Marketing e Publicidade - Sem NF</t>
        </is>
      </c>
      <c r="H77" s="3" t="inlineStr">
        <is>
          <t>2025-09</t>
        </is>
      </c>
      <c r="I77" s="3" t="n"/>
      <c r="J77" s="3" t="n"/>
    </row>
    <row r="78">
      <c r="A78" s="6" t="n">
        <v>45905</v>
      </c>
      <c r="B78" s="3" t="inlineStr">
        <is>
          <t>Marketing &amp; Growth Expenses</t>
        </is>
      </c>
      <c r="C78" s="3" t="n"/>
      <c r="D78" s="3" t="inlineStr">
        <is>
          <t>Fillipe Augusto Alves Dutra - Transferência | Pix</t>
        </is>
      </c>
      <c r="E78" s="3" t="n">
        <v>-410</v>
      </c>
      <c r="F78" s="3" t="inlineStr">
        <is>
          <t>Débito</t>
        </is>
      </c>
      <c r="G78" s="3" t="inlineStr">
        <is>
          <t>Marketing e Publicidade - Sem NF</t>
        </is>
      </c>
      <c r="H78" s="3" t="inlineStr">
        <is>
          <t>2025-09</t>
        </is>
      </c>
      <c r="I78" s="3" t="n"/>
      <c r="J78" s="3" t="n"/>
    </row>
    <row r="79">
      <c r="A79" s="6" t="n">
        <v>45905</v>
      </c>
      <c r="B79" s="3" t="inlineStr">
        <is>
          <t>Marketing &amp; Growth Expenses</t>
        </is>
      </c>
      <c r="C79" s="3" t="n"/>
      <c r="D79" s="3" t="inlineStr">
        <is>
          <t>Monielly Gomes Monteiro - Transferência | Pix</t>
        </is>
      </c>
      <c r="E79" s="3" t="n">
        <v>-406</v>
      </c>
      <c r="F79" s="3" t="inlineStr">
        <is>
          <t>Débito</t>
        </is>
      </c>
      <c r="G79" s="3" t="inlineStr">
        <is>
          <t>Marketing e Publicidade - Sem NF</t>
        </is>
      </c>
      <c r="H79" s="3" t="inlineStr">
        <is>
          <t>2025-09</t>
        </is>
      </c>
      <c r="I79" s="3" t="n"/>
      <c r="J79" s="3" t="n"/>
    </row>
    <row r="80">
      <c r="A80" s="6" t="n">
        <v>45905</v>
      </c>
      <c r="B80" s="3" t="inlineStr">
        <is>
          <t>Marketing &amp; Growth Expenses</t>
        </is>
      </c>
      <c r="C80" s="3" t="n"/>
      <c r="D80" s="3" t="inlineStr">
        <is>
          <t>Gabriel Goncalves Mendes Capelli Cariello - Transferência | Pix</t>
        </is>
      </c>
      <c r="E80" s="3" t="n">
        <v>-84</v>
      </c>
      <c r="F80" s="3" t="inlineStr">
        <is>
          <t>Débito</t>
        </is>
      </c>
      <c r="G80" s="3" t="inlineStr">
        <is>
          <t>Marketing e Publicidade - Sem NF</t>
        </is>
      </c>
      <c r="H80" s="3" t="inlineStr">
        <is>
          <t>2025-09</t>
        </is>
      </c>
      <c r="I80" s="3" t="n"/>
      <c r="J80" s="3" t="n"/>
    </row>
    <row r="81">
      <c r="A81" s="6" t="n">
        <v>45905</v>
      </c>
      <c r="B81" s="3" t="inlineStr">
        <is>
          <t>Marketing &amp; Growth Expenses</t>
        </is>
      </c>
      <c r="C81" s="3" t="n"/>
      <c r="D81" s="3" t="inlineStr">
        <is>
          <t>GABRIEL MARTINS GANZAROLLI - Transferência | Pix</t>
        </is>
      </c>
      <c r="E81" s="3" t="n">
        <v>-46</v>
      </c>
      <c r="F81" s="3" t="inlineStr">
        <is>
          <t>Débito</t>
        </is>
      </c>
      <c r="G81" s="3" t="inlineStr">
        <is>
          <t>Marketing e Publicidade - Sem NF</t>
        </is>
      </c>
      <c r="H81" s="3" t="inlineStr">
        <is>
          <t>2025-09</t>
        </is>
      </c>
      <c r="I81" s="3" t="n"/>
      <c r="J81" s="3" t="n"/>
    </row>
    <row r="82">
      <c r="A82" s="6" t="n">
        <v>45905</v>
      </c>
      <c r="B82" s="3" t="inlineStr">
        <is>
          <t>Marketing &amp; Growth Expenses</t>
        </is>
      </c>
      <c r="C82" s="3" t="n"/>
      <c r="D82" s="3" t="inlineStr">
        <is>
          <t>Karina De Almeida Silva - Transferência | Pix</t>
        </is>
      </c>
      <c r="E82" s="3" t="n">
        <v>-34</v>
      </c>
      <c r="F82" s="3" t="inlineStr">
        <is>
          <t>Débito</t>
        </is>
      </c>
      <c r="G82" s="3" t="inlineStr">
        <is>
          <t>Marketing e Publicidade - Sem NF</t>
        </is>
      </c>
      <c r="H82" s="3" t="inlineStr">
        <is>
          <t>2025-09</t>
        </is>
      </c>
      <c r="I82" s="3" t="n"/>
      <c r="J82" s="3" t="n"/>
    </row>
    <row r="83">
      <c r="A83" s="6" t="n">
        <v>45905</v>
      </c>
      <c r="B83" s="3" t="inlineStr">
        <is>
          <t>Marketing &amp; Growth Expenses</t>
        </is>
      </c>
      <c r="C83" s="3" t="n"/>
      <c r="D83" s="3" t="inlineStr">
        <is>
          <t>Aldeiza Carla Marcolino da Silva - Transferência | Pix</t>
        </is>
      </c>
      <c r="E83" s="3" t="n">
        <v>-404</v>
      </c>
      <c r="F83" s="3" t="inlineStr">
        <is>
          <t>Débito</t>
        </is>
      </c>
      <c r="G83" s="3" t="inlineStr">
        <is>
          <t>Marketing e Publicidade - Sem NF</t>
        </is>
      </c>
      <c r="H83" s="3" t="inlineStr">
        <is>
          <t>2025-09</t>
        </is>
      </c>
      <c r="I83" s="3" t="n"/>
      <c r="J83" s="3" t="n"/>
    </row>
    <row r="84">
      <c r="A84" s="6" t="n">
        <v>45905</v>
      </c>
      <c r="B84" s="3" t="inlineStr">
        <is>
          <t>Marketing &amp; Growth Expenses</t>
        </is>
      </c>
      <c r="C84" s="3" t="n"/>
      <c r="D84" s="3" t="inlineStr">
        <is>
          <t>LETICIA GOUVEIA CELESTINO - Transferência | Pix</t>
        </is>
      </c>
      <c r="E84" s="3" t="n">
        <v>-32</v>
      </c>
      <c r="F84" s="3" t="inlineStr">
        <is>
          <t>Débito</t>
        </is>
      </c>
      <c r="G84" s="3" t="inlineStr">
        <is>
          <t>Marketing e Publicidade - Sem NF</t>
        </is>
      </c>
      <c r="H84" s="3" t="inlineStr">
        <is>
          <t>2025-09</t>
        </is>
      </c>
      <c r="I84" s="3" t="n"/>
      <c r="J84" s="3" t="n"/>
    </row>
    <row r="85">
      <c r="A85" s="6" t="n">
        <v>45905</v>
      </c>
      <c r="B85" s="3" t="inlineStr">
        <is>
          <t>Marketing &amp; Growth Expenses</t>
        </is>
      </c>
      <c r="C85" s="3" t="n"/>
      <c r="D85" s="3" t="inlineStr">
        <is>
          <t>Joao Victor Teixeira De Sousa - Transferência | Pix</t>
        </is>
      </c>
      <c r="E85" s="3" t="n">
        <v>-26</v>
      </c>
      <c r="F85" s="3" t="inlineStr">
        <is>
          <t>Débito</t>
        </is>
      </c>
      <c r="G85" s="3" t="inlineStr">
        <is>
          <t>Marketing e Publicidade - Sem NF</t>
        </is>
      </c>
      <c r="H85" s="3" t="inlineStr">
        <is>
          <t>2025-09</t>
        </is>
      </c>
      <c r="I85" s="3" t="n"/>
      <c r="J85" s="3" t="n"/>
    </row>
    <row r="86">
      <c r="A86" s="6" t="n">
        <v>45905</v>
      </c>
      <c r="B86" s="3" t="inlineStr">
        <is>
          <t>Marketing &amp; Growth Expenses</t>
        </is>
      </c>
      <c r="C86" s="3" t="n"/>
      <c r="D86" s="3" t="inlineStr">
        <is>
          <t>DAIANE CARDOSO DA SILVA - Transferência | Pix</t>
        </is>
      </c>
      <c r="E86" s="3" t="n">
        <v>-18</v>
      </c>
      <c r="F86" s="3" t="inlineStr">
        <is>
          <t>Débito</t>
        </is>
      </c>
      <c r="G86" s="3" t="inlineStr">
        <is>
          <t>Marketing e Publicidade - Sem NF</t>
        </is>
      </c>
      <c r="H86" s="3" t="inlineStr">
        <is>
          <t>2025-09</t>
        </is>
      </c>
      <c r="I86" s="3" t="n"/>
      <c r="J86" s="3" t="n"/>
    </row>
    <row r="87">
      <c r="A87" s="6" t="n">
        <v>45905</v>
      </c>
      <c r="B87" s="3" t="inlineStr">
        <is>
          <t>Marketing &amp; Growth Expenses</t>
        </is>
      </c>
      <c r="C87" s="3" t="n"/>
      <c r="D87" s="3" t="inlineStr">
        <is>
          <t>Eanes Porto Lima - Transferência | Pix</t>
        </is>
      </c>
      <c r="E87" s="3" t="n">
        <v>-16</v>
      </c>
      <c r="F87" s="3" t="inlineStr">
        <is>
          <t>Débito</t>
        </is>
      </c>
      <c r="G87" s="3" t="inlineStr">
        <is>
          <t>Marketing e Publicidade - Sem NF</t>
        </is>
      </c>
      <c r="H87" s="3" t="inlineStr">
        <is>
          <t>2025-09</t>
        </is>
      </c>
      <c r="I87" s="3" t="n"/>
      <c r="J87" s="3" t="n"/>
    </row>
    <row r="88">
      <c r="A88" s="6" t="n">
        <v>45905</v>
      </c>
      <c r="B88" s="3" t="inlineStr">
        <is>
          <t>Marketing &amp; Growth Expenses</t>
        </is>
      </c>
      <c r="C88" s="3" t="n"/>
      <c r="D88" s="3" t="inlineStr">
        <is>
          <t>Gustavo Ratier Cardoso - Transferência | Pix</t>
        </is>
      </c>
      <c r="E88" s="3" t="n">
        <v>-16</v>
      </c>
      <c r="F88" s="3" t="inlineStr">
        <is>
          <t>Débito</t>
        </is>
      </c>
      <c r="G88" s="3" t="inlineStr">
        <is>
          <t>Marketing e Publicidade - Sem NF</t>
        </is>
      </c>
      <c r="H88" s="3" t="inlineStr">
        <is>
          <t>2025-09</t>
        </is>
      </c>
      <c r="I88" s="3" t="n"/>
      <c r="J88" s="3" t="n"/>
    </row>
    <row r="89">
      <c r="A89" s="6" t="n">
        <v>45905</v>
      </c>
      <c r="B89" s="3" t="inlineStr">
        <is>
          <t>Marketing &amp; Growth Expenses</t>
        </is>
      </c>
      <c r="C89" s="3" t="n"/>
      <c r="D89" s="3" t="inlineStr">
        <is>
          <t>GIGLIOLLY RIGAR CRUZ SILVA - Transferência | Pix</t>
        </is>
      </c>
      <c r="E89" s="3" t="n">
        <v>-12</v>
      </c>
      <c r="F89" s="3" t="inlineStr">
        <is>
          <t>Débito</t>
        </is>
      </c>
      <c r="G89" s="3" t="inlineStr">
        <is>
          <t>Marketing e Publicidade - Sem NF</t>
        </is>
      </c>
      <c r="H89" s="3" t="inlineStr">
        <is>
          <t>2025-09</t>
        </is>
      </c>
      <c r="I89" s="3" t="n"/>
      <c r="J89" s="3" t="n"/>
    </row>
    <row r="90">
      <c r="A90" s="6" t="n">
        <v>45905</v>
      </c>
      <c r="B90" s="3" t="inlineStr">
        <is>
          <t>Marketing &amp; Growth Expenses</t>
        </is>
      </c>
      <c r="C90" s="3" t="n"/>
      <c r="D90" s="3" t="inlineStr">
        <is>
          <t>THIFANY SANTOS LOPES - Transferência | Pix</t>
        </is>
      </c>
      <c r="E90" s="3" t="n">
        <v>-14</v>
      </c>
      <c r="F90" s="3" t="inlineStr">
        <is>
          <t>Débito</t>
        </is>
      </c>
      <c r="G90" s="3" t="inlineStr">
        <is>
          <t>Marketing e Publicidade - Sem NF</t>
        </is>
      </c>
      <c r="H90" s="3" t="inlineStr">
        <is>
          <t>2025-09</t>
        </is>
      </c>
      <c r="I90" s="3" t="n"/>
      <c r="J90" s="3" t="n"/>
    </row>
    <row r="91">
      <c r="A91" s="6" t="n">
        <v>45905</v>
      </c>
      <c r="B91" s="3" t="inlineStr">
        <is>
          <t>Marketing &amp; Growth Expenses</t>
        </is>
      </c>
      <c r="C91" s="3" t="n"/>
      <c r="D91" s="3" t="inlineStr">
        <is>
          <t>JOAO GABRIEL VIANA DE MORAES - Transferência | Pix</t>
        </is>
      </c>
      <c r="E91" s="3" t="n">
        <v>-14</v>
      </c>
      <c r="F91" s="3" t="inlineStr">
        <is>
          <t>Débito</t>
        </is>
      </c>
      <c r="G91" s="3" t="inlineStr">
        <is>
          <t>Marketing e Publicidade - Sem NF</t>
        </is>
      </c>
      <c r="H91" s="3" t="inlineStr">
        <is>
          <t>2025-09</t>
        </is>
      </c>
      <c r="I91" s="3" t="n"/>
      <c r="J91" s="3" t="n"/>
    </row>
    <row r="92">
      <c r="A92" s="6" t="n">
        <v>45905</v>
      </c>
      <c r="B92" s="3" t="inlineStr">
        <is>
          <t>Marketing &amp; Growth Expenses</t>
        </is>
      </c>
      <c r="C92" s="3" t="n"/>
      <c r="D92" s="3" t="inlineStr">
        <is>
          <t>ARTHUR SILVA ALMEIDA - Transferência | Pix</t>
        </is>
      </c>
      <c r="E92" s="3" t="n">
        <v>-10</v>
      </c>
      <c r="F92" s="3" t="inlineStr">
        <is>
          <t>Débito</t>
        </is>
      </c>
      <c r="G92" s="3" t="inlineStr">
        <is>
          <t>Marketing e Publicidade - Sem NF</t>
        </is>
      </c>
      <c r="H92" s="3" t="inlineStr">
        <is>
          <t>2025-09</t>
        </is>
      </c>
      <c r="I92" s="3" t="n"/>
      <c r="J92" s="3" t="n"/>
    </row>
    <row r="93">
      <c r="A93" s="6" t="n">
        <v>45905</v>
      </c>
      <c r="B93" s="3" t="inlineStr">
        <is>
          <t>Marketing &amp; Growth Expenses</t>
        </is>
      </c>
      <c r="C93" s="3" t="n"/>
      <c r="D93" s="3" t="inlineStr">
        <is>
          <t>LUIZ HENRIQUE RIBEIRO LOPES - Transferência | Pix</t>
        </is>
      </c>
      <c r="E93" s="3" t="n">
        <v>-2</v>
      </c>
      <c r="F93" s="3" t="inlineStr">
        <is>
          <t>Débito</t>
        </is>
      </c>
      <c r="G93" s="3" t="inlineStr">
        <is>
          <t>Marketing e Publicidade - Sem NF</t>
        </is>
      </c>
      <c r="H93" s="3" t="inlineStr">
        <is>
          <t>2025-09</t>
        </is>
      </c>
      <c r="I93" s="3" t="n"/>
      <c r="J93" s="3" t="n"/>
    </row>
    <row r="94">
      <c r="A94" s="6" t="n">
        <v>45905</v>
      </c>
      <c r="B94" s="3" t="inlineStr">
        <is>
          <t>Marketing &amp; Growth Expenses</t>
        </is>
      </c>
      <c r="C94" s="3" t="n"/>
      <c r="D94" s="3" t="inlineStr">
        <is>
          <t>JULIO RODRIGUES DA SILVA NETO - Transferência | Pix</t>
        </is>
      </c>
      <c r="E94" s="3" t="n">
        <v>-8</v>
      </c>
      <c r="F94" s="3" t="inlineStr">
        <is>
          <t>Débito</t>
        </is>
      </c>
      <c r="G94" s="3" t="inlineStr">
        <is>
          <t>Marketing e Publicidade - Sem NF</t>
        </is>
      </c>
      <c r="H94" s="3" t="inlineStr">
        <is>
          <t>2025-09</t>
        </is>
      </c>
      <c r="I94" s="3" t="n"/>
      <c r="J94" s="3" t="n"/>
    </row>
    <row r="95">
      <c r="A95" s="6" t="n">
        <v>45905</v>
      </c>
      <c r="B95" s="3" t="inlineStr">
        <is>
          <t>Marketing &amp; Growth Expenses</t>
        </is>
      </c>
      <c r="C95" s="3" t="n"/>
      <c r="D95" s="3" t="inlineStr">
        <is>
          <t>JOAO LUCAS ESTRELA DA CONCEICAO - Transferência | Pix</t>
        </is>
      </c>
      <c r="E95" s="3" t="n">
        <v>-8</v>
      </c>
      <c r="F95" s="3" t="inlineStr">
        <is>
          <t>Débito</t>
        </is>
      </c>
      <c r="G95" s="3" t="inlineStr">
        <is>
          <t>Marketing e Publicidade - Sem NF</t>
        </is>
      </c>
      <c r="H95" s="3" t="inlineStr">
        <is>
          <t>2025-09</t>
        </is>
      </c>
      <c r="I95" s="3" t="n"/>
      <c r="J95" s="3" t="n"/>
    </row>
    <row r="96">
      <c r="A96" s="6" t="n">
        <v>45905</v>
      </c>
      <c r="B96" s="3" t="inlineStr">
        <is>
          <t>Marketing &amp; Growth Expenses</t>
        </is>
      </c>
      <c r="C96" s="3" t="n"/>
      <c r="D96" s="3" t="inlineStr">
        <is>
          <t>Vinicius Ferreira Batista - Transferência | Pix</t>
        </is>
      </c>
      <c r="E96" s="3" t="n">
        <v>-6</v>
      </c>
      <c r="F96" s="3" t="inlineStr">
        <is>
          <t>Débito</t>
        </is>
      </c>
      <c r="G96" s="3" t="inlineStr">
        <is>
          <t>Marketing e Publicidade - Sem NF</t>
        </is>
      </c>
      <c r="H96" s="3" t="inlineStr">
        <is>
          <t>2025-09</t>
        </is>
      </c>
      <c r="I96" s="3" t="n"/>
      <c r="J96" s="3" t="n"/>
    </row>
    <row r="97">
      <c r="A97" s="6" t="n">
        <v>45905</v>
      </c>
      <c r="B97" s="3" t="inlineStr">
        <is>
          <t>Marketing &amp; Growth Expenses</t>
        </is>
      </c>
      <c r="C97" s="3" t="n"/>
      <c r="D97" s="3" t="inlineStr">
        <is>
          <t>TAMIRES DA SILVA TOMAZ - Transferência | Pix</t>
        </is>
      </c>
      <c r="E97" s="3" t="n">
        <v>-4</v>
      </c>
      <c r="F97" s="3" t="inlineStr">
        <is>
          <t>Débito</t>
        </is>
      </c>
      <c r="G97" s="3" t="inlineStr">
        <is>
          <t>Marketing e Publicidade - Sem NF</t>
        </is>
      </c>
      <c r="H97" s="3" t="inlineStr">
        <is>
          <t>2025-09</t>
        </is>
      </c>
      <c r="I97" s="3" t="n"/>
      <c r="J97" s="3" t="n"/>
    </row>
    <row r="98">
      <c r="A98" s="6" t="n">
        <v>45905</v>
      </c>
      <c r="B98" s="3" t="inlineStr">
        <is>
          <t>Marketing &amp; Growth Expenses</t>
        </is>
      </c>
      <c r="C98" s="3" t="n"/>
      <c r="D98" s="3" t="inlineStr">
        <is>
          <t>JOAO VITOR RODRIGUES TEIXEIRA - Transferência | Pix</t>
        </is>
      </c>
      <c r="E98" s="3" t="n">
        <v>-2</v>
      </c>
      <c r="F98" s="3" t="inlineStr">
        <is>
          <t>Débito</t>
        </is>
      </c>
      <c r="G98" s="3" t="inlineStr">
        <is>
          <t>Marketing e Publicidade - Sem NF</t>
        </is>
      </c>
      <c r="H98" s="3" t="inlineStr">
        <is>
          <t>2025-09</t>
        </is>
      </c>
      <c r="I98" s="3" t="n"/>
      <c r="J98" s="3" t="n"/>
    </row>
    <row r="99">
      <c r="A99" s="6" t="n">
        <v>45905</v>
      </c>
      <c r="B99" s="3" t="inlineStr">
        <is>
          <t>Marketing &amp; Growth Expenses</t>
        </is>
      </c>
      <c r="C99" s="3" t="n"/>
      <c r="D99" s="3" t="inlineStr">
        <is>
          <t>PERLANGEDA DELNA LOUIS - Transferência | Pix</t>
        </is>
      </c>
      <c r="E99" s="3" t="n">
        <v>-2</v>
      </c>
      <c r="F99" s="3" t="inlineStr">
        <is>
          <t>Débito</t>
        </is>
      </c>
      <c r="G99" s="3" t="inlineStr">
        <is>
          <t>Marketing e Publicidade - Sem NF</t>
        </is>
      </c>
      <c r="H99" s="3" t="inlineStr">
        <is>
          <t>2025-09</t>
        </is>
      </c>
      <c r="I99" s="3" t="n"/>
      <c r="J99" s="3" t="n"/>
    </row>
    <row r="100">
      <c r="A100" s="6" t="n">
        <v>45905</v>
      </c>
      <c r="B100" s="3" t="inlineStr">
        <is>
          <t>Marketing &amp; Growth Expenses</t>
        </is>
      </c>
      <c r="C100" s="3" t="n"/>
      <c r="D100" s="3" t="inlineStr">
        <is>
          <t>RYAN DENVER MENDES DE ARAUJO - Transferência | Pix</t>
        </is>
      </c>
      <c r="E100" s="3" t="n">
        <v>-2</v>
      </c>
      <c r="F100" s="3" t="inlineStr">
        <is>
          <t>Débito</t>
        </is>
      </c>
      <c r="G100" s="3" t="inlineStr">
        <is>
          <t>Marketing e Publicidade - Sem NF</t>
        </is>
      </c>
      <c r="H100" s="3" t="inlineStr">
        <is>
          <t>2025-09</t>
        </is>
      </c>
      <c r="I100" s="3" t="n"/>
      <c r="J100" s="3" t="n"/>
    </row>
    <row r="101">
      <c r="A101" s="6" t="n">
        <v>45905</v>
      </c>
      <c r="B101" s="3" t="inlineStr">
        <is>
          <t>Marketing &amp; Growth Expenses</t>
        </is>
      </c>
      <c r="C101" s="3" t="n"/>
      <c r="D101" s="3" t="inlineStr">
        <is>
          <t>Victoria Fonseca Moreira Silva - Transferência | Pix</t>
        </is>
      </c>
      <c r="E101" s="3" t="n">
        <v>-2</v>
      </c>
      <c r="F101" s="3" t="inlineStr">
        <is>
          <t>Débito</t>
        </is>
      </c>
      <c r="G101" s="3" t="inlineStr">
        <is>
          <t>Marketing e Publicidade - Sem NF</t>
        </is>
      </c>
      <c r="H101" s="3" t="inlineStr">
        <is>
          <t>2025-09</t>
        </is>
      </c>
      <c r="I101" s="3" t="n"/>
      <c r="J101" s="3" t="n"/>
    </row>
    <row r="102">
      <c r="A102" s="6" t="n">
        <v>45905</v>
      </c>
      <c r="B102" s="3" t="inlineStr">
        <is>
          <t>Rendimentos de Aplicações</t>
        </is>
      </c>
      <c r="C102" s="3" t="inlineStr">
        <is>
          <t>CONTA SIMPLES</t>
        </is>
      </c>
      <c r="D102" s="3" t="inlineStr">
        <is>
          <t>Rentabilidade CDI</t>
        </is>
      </c>
      <c r="E102" s="3" t="n">
        <v>29.12</v>
      </c>
      <c r="F102" s="3" t="inlineStr">
        <is>
          <t>Crédito</t>
        </is>
      </c>
      <c r="G102" s="3" t="inlineStr">
        <is>
          <t>Rendimentos de Aplicações</t>
        </is>
      </c>
      <c r="H102" s="3" t="inlineStr">
        <is>
          <t>2025-09</t>
        </is>
      </c>
      <c r="I102" s="3" t="n"/>
      <c r="J102" s="3" t="n"/>
    </row>
    <row r="103">
      <c r="A103" s="6" t="n">
        <v>45906</v>
      </c>
      <c r="B103" s="3" t="inlineStr">
        <is>
          <t>Rendimentos de Aplicações</t>
        </is>
      </c>
      <c r="C103" s="3" t="inlineStr">
        <is>
          <t>CONTA SIMPLES</t>
        </is>
      </c>
      <c r="D103" s="3" t="inlineStr">
        <is>
          <t>Rentabilidade CDI - Remuneração-Cta Pgto</t>
        </is>
      </c>
      <c r="E103" s="3" t="n">
        <v>27.93</v>
      </c>
      <c r="F103" s="3" t="inlineStr">
        <is>
          <t>Crédito</t>
        </is>
      </c>
      <c r="G103" s="3" t="inlineStr">
        <is>
          <t>Rendimentos de Aplicações</t>
        </is>
      </c>
      <c r="H103" s="3" t="inlineStr">
        <is>
          <t>2025-09</t>
        </is>
      </c>
      <c r="I103" s="3" t="n"/>
      <c r="J103" s="3" t="n"/>
    </row>
    <row r="104">
      <c r="A104" s="6" t="n">
        <v>45907</v>
      </c>
      <c r="B104" s="3" t="inlineStr">
        <is>
          <t>Rendimentos de Aplicações</t>
        </is>
      </c>
      <c r="C104" s="3" t="inlineStr">
        <is>
          <t>CONTA SIMPLES</t>
        </is>
      </c>
      <c r="D104" s="3" t="inlineStr">
        <is>
          <t>Rentabilidade CDI - Remuneração-Cta Pgto</t>
        </is>
      </c>
      <c r="E104" s="3" t="n">
        <v>9.26</v>
      </c>
      <c r="F104" s="3" t="inlineStr">
        <is>
          <t>Crédito</t>
        </is>
      </c>
      <c r="G104" s="3" t="inlineStr">
        <is>
          <t>Rendimentos de Aplicações</t>
        </is>
      </c>
      <c r="H104" s="3" t="inlineStr">
        <is>
          <t>2025-09</t>
        </is>
      </c>
      <c r="I104" s="3" t="n"/>
      <c r="J104" s="3" t="n"/>
    </row>
    <row r="105">
      <c r="A105" s="6" t="n">
        <v>45908</v>
      </c>
      <c r="B105" s="3" t="inlineStr">
        <is>
          <t>Rendimentos de Aplicações</t>
        </is>
      </c>
      <c r="C105" s="3" t="inlineStr">
        <is>
          <t>CONTA SIMPLES</t>
        </is>
      </c>
      <c r="D105" s="3" t="inlineStr">
        <is>
          <t>Rentabilidade CDI</t>
        </is>
      </c>
      <c r="E105" s="3" t="n">
        <v>12.34</v>
      </c>
      <c r="F105" s="3" t="inlineStr">
        <is>
          <t>Crédito</t>
        </is>
      </c>
      <c r="G105" s="3" t="inlineStr">
        <is>
          <t>Rendimentos de Aplicações</t>
        </is>
      </c>
      <c r="H105" s="3" t="inlineStr">
        <is>
          <t>2025-09</t>
        </is>
      </c>
      <c r="I105" s="3" t="n"/>
      <c r="J105" s="3" t="n"/>
    </row>
    <row r="106">
      <c r="A106" s="6" t="n">
        <v>45908</v>
      </c>
      <c r="B106" s="3" t="inlineStr">
        <is>
          <t>Identificar</t>
        </is>
      </c>
      <c r="C106" s="3" t="n"/>
      <c r="D106" s="3" t="inlineStr">
        <is>
          <t>PIX Enviado para KANAYAMA SUSHI LTDA</t>
        </is>
      </c>
      <c r="E106" s="3" t="n">
        <v>-901.85</v>
      </c>
      <c r="F106" s="3" t="inlineStr">
        <is>
          <t>Débito</t>
        </is>
      </c>
      <c r="G106" s="3" t="inlineStr">
        <is>
          <t>Despesas a identificar</t>
        </is>
      </c>
      <c r="H106" s="3" t="inlineStr">
        <is>
          <t>2025-09</t>
        </is>
      </c>
      <c r="I106" s="3" t="n"/>
      <c r="J106" s="3" t="n"/>
    </row>
    <row r="107">
      <c r="A107" s="6" t="n">
        <v>45909</v>
      </c>
      <c r="B107" s="3" t="inlineStr">
        <is>
          <t>Rendimentos de Aplicações</t>
        </is>
      </c>
      <c r="C107" s="3" t="inlineStr">
        <is>
          <t>CONTA SIMPLES</t>
        </is>
      </c>
      <c r="D107" s="3" t="inlineStr">
        <is>
          <t>Rentabilidade CDI - Remuneração-Cta Pgto</t>
        </is>
      </c>
      <c r="E107" s="3" t="n">
        <v>30.73</v>
      </c>
      <c r="F107" s="3" t="inlineStr">
        <is>
          <t>Crédito</t>
        </is>
      </c>
      <c r="G107" s="3" t="inlineStr">
        <is>
          <t>Rendimentos de Aplicações</t>
        </is>
      </c>
      <c r="H107" s="3" t="inlineStr">
        <is>
          <t>2025-09</t>
        </is>
      </c>
      <c r="I107" s="3" t="n"/>
      <c r="J107" s="3" t="n"/>
    </row>
    <row r="108">
      <c r="A108" s="6" t="n">
        <v>45889</v>
      </c>
      <c r="B108" s="3" t="inlineStr">
        <is>
          <t>Travel</t>
        </is>
      </c>
      <c r="C108" s="3" t="inlineStr">
        <is>
          <t>American Airlines</t>
        </is>
      </c>
      <c r="D108" s="3" t="inlineStr">
        <is>
          <t>AMERICAN AIR* captureRe</t>
        </is>
      </c>
      <c r="E108" s="3" t="n">
        <v>-12194.91</v>
      </c>
      <c r="F108" s="3" t="inlineStr">
        <is>
          <t>Débito</t>
        </is>
      </c>
      <c r="G108" s="3" t="inlineStr">
        <is>
          <t>Viagens e Representações</t>
        </is>
      </c>
      <c r="H108" s="3" t="inlineStr">
        <is>
          <t>2025-08</t>
        </is>
      </c>
      <c r="I108" s="3" t="n"/>
      <c r="J108" s="3" t="n"/>
    </row>
    <row r="109">
      <c r="A109" s="6" t="n">
        <v>45887</v>
      </c>
      <c r="B109" s="3" t="inlineStr">
        <is>
          <t>Tech Support &amp; Services</t>
        </is>
      </c>
      <c r="C109" s="3" t="inlineStr">
        <is>
          <t>Adobe</t>
        </is>
      </c>
      <c r="D109" s="3" t="inlineStr">
        <is>
          <t>ADOBE</t>
        </is>
      </c>
      <c r="E109" s="3" t="n">
        <v>-139</v>
      </c>
      <c r="F109" s="3" t="inlineStr">
        <is>
          <t>Débito</t>
        </is>
      </c>
      <c r="G109" s="3" t="inlineStr">
        <is>
          <t>Software / Licença de Uso</t>
        </is>
      </c>
      <c r="H109" s="3" t="inlineStr">
        <is>
          <t>2025-08</t>
        </is>
      </c>
      <c r="I109" s="3" t="n"/>
      <c r="J109" s="3" t="n"/>
    </row>
    <row r="110">
      <c r="A110" s="6" t="n">
        <v>45894</v>
      </c>
      <c r="B110" s="3" t="inlineStr">
        <is>
          <t>Tech Support &amp; Services</t>
        </is>
      </c>
      <c r="C110" s="3" t="inlineStr">
        <is>
          <t>Adobe</t>
        </is>
      </c>
      <c r="D110" s="3" t="inlineStr">
        <is>
          <t>ADOBE</t>
        </is>
      </c>
      <c r="E110" s="3" t="n">
        <v>-139</v>
      </c>
      <c r="F110" s="3" t="inlineStr">
        <is>
          <t>Débito</t>
        </is>
      </c>
      <c r="G110" s="3" t="inlineStr">
        <is>
          <t>Software / Licença de Uso</t>
        </is>
      </c>
      <c r="H110" s="3" t="inlineStr">
        <is>
          <t>2025-08</t>
        </is>
      </c>
      <c r="I110" s="3" t="n"/>
      <c r="J110" s="3" t="n"/>
    </row>
    <row r="111">
      <c r="A111" s="6" t="n">
        <v>45874</v>
      </c>
      <c r="B111" s="3" t="inlineStr">
        <is>
          <t>Tech Support &amp; Services</t>
        </is>
      </c>
      <c r="C111" s="3" t="inlineStr">
        <is>
          <t>COMPANYHERO SAO PAULO BRA</t>
        </is>
      </c>
      <c r="D111" s="3" t="inlineStr">
        <is>
          <t>COMPANY HERO</t>
        </is>
      </c>
      <c r="E111" s="3" t="n">
        <v>-136</v>
      </c>
      <c r="F111" s="3" t="inlineStr">
        <is>
          <t>Débito</t>
        </is>
      </c>
      <c r="G111" s="3" t="inlineStr">
        <is>
          <t>Software / Licença de Uso</t>
        </is>
      </c>
      <c r="H111" s="3" t="inlineStr">
        <is>
          <t>2025-08</t>
        </is>
      </c>
      <c r="I111" s="3" t="n"/>
      <c r="J111" s="3" t="n"/>
    </row>
    <row r="112">
      <c r="A112" s="6" t="n">
        <v>45881</v>
      </c>
      <c r="B112" s="3" t="inlineStr">
        <is>
          <t>Tech Support &amp; Services</t>
        </is>
      </c>
      <c r="C112" s="3" t="inlineStr">
        <is>
          <t>ClickSign</t>
        </is>
      </c>
      <c r="D112" s="3" t="inlineStr">
        <is>
          <t>CLICK SIGN*Clicksign</t>
        </is>
      </c>
      <c r="E112" s="3" t="n">
        <v>-39</v>
      </c>
      <c r="F112" s="3" t="inlineStr">
        <is>
          <t>Débito</t>
        </is>
      </c>
      <c r="G112" s="3" t="inlineStr">
        <is>
          <t>Software / Licença de Uso</t>
        </is>
      </c>
      <c r="H112" s="3" t="inlineStr">
        <is>
          <t>2025-08</t>
        </is>
      </c>
      <c r="I112" s="3" t="n"/>
      <c r="J112" s="3" t="n"/>
    </row>
    <row r="113">
      <c r="A113" s="6" t="n">
        <v>45899</v>
      </c>
      <c r="B113" s="3" t="inlineStr">
        <is>
          <t>Tech Support &amp; Services</t>
        </is>
      </c>
      <c r="C113" s="3" t="inlineStr">
        <is>
          <t>Canva</t>
        </is>
      </c>
      <c r="D113" s="3" t="inlineStr">
        <is>
          <t>EBN*CANVA0462</t>
        </is>
      </c>
      <c r="E113" s="3" t="n">
        <v>-35</v>
      </c>
      <c r="F113" s="3" t="inlineStr">
        <is>
          <t>Débito</t>
        </is>
      </c>
      <c r="G113" s="3" t="inlineStr">
        <is>
          <t>Software / Licença de Uso</t>
        </is>
      </c>
      <c r="H113" s="3" t="inlineStr">
        <is>
          <t>2025-08</t>
        </is>
      </c>
      <c r="I113" s="3" t="n"/>
      <c r="J113" s="3" t="n"/>
    </row>
    <row r="114">
      <c r="A114" s="6" t="n">
        <v>45910</v>
      </c>
      <c r="B114" s="3" t="n"/>
      <c r="C114" s="3" t="n"/>
      <c r="D114" s="3" t="inlineStr">
        <is>
          <t>Origem: Conta Corrente - Banco Inter / Destino: Conta Corrente - Banco Stone</t>
        </is>
      </c>
      <c r="E114" s="3" t="n">
        <v>15170</v>
      </c>
      <c r="F114" s="3" t="inlineStr">
        <is>
          <t>Crédito</t>
        </is>
      </c>
      <c r="G114" s="3" t="inlineStr">
        <is>
          <t>Transferência de Entrada</t>
        </is>
      </c>
      <c r="H114" s="3" t="inlineStr">
        <is>
          <t>2025-09</t>
        </is>
      </c>
      <c r="I114" s="3" t="n"/>
      <c r="J114" s="3" t="n"/>
    </row>
    <row r="115">
      <c r="A115" s="6" t="n">
        <v>45910</v>
      </c>
      <c r="B115" s="3" t="n"/>
      <c r="C115" s="3" t="n"/>
      <c r="D115" s="3" t="inlineStr">
        <is>
          <t>Origem: Conta Corrente - Banco Inter / Destino: Conta Corrente - Banco Stone</t>
        </is>
      </c>
      <c r="E115" s="3" t="n">
        <v>-15170</v>
      </c>
      <c r="F115" s="3" t="inlineStr">
        <is>
          <t>Débito</t>
        </is>
      </c>
      <c r="G115" s="3" t="inlineStr">
        <is>
          <t>Transferência de Saída</t>
        </is>
      </c>
      <c r="H115" s="3" t="inlineStr">
        <is>
          <t>2025-09</t>
        </is>
      </c>
      <c r="I115" s="3" t="n"/>
      <c r="J115" s="3" t="n"/>
    </row>
    <row r="116">
      <c r="A116" s="6" t="n">
        <v>45870</v>
      </c>
      <c r="B116" s="3" t="inlineStr">
        <is>
          <t>Payroll Tax - Brazil</t>
        </is>
      </c>
      <c r="C116" s="3" t="inlineStr">
        <is>
          <t>IMPOSTOS/TRIBUTOS</t>
        </is>
      </c>
      <c r="D116" s="3" t="inlineStr">
        <is>
          <t>DAMSP - DARF ISS 08.2025</t>
        </is>
      </c>
      <c r="E116" s="3" t="n">
        <v>-17</v>
      </c>
      <c r="F116" s="3" t="inlineStr">
        <is>
          <t>Débito</t>
        </is>
      </c>
      <c r="G116" s="3" t="inlineStr">
        <is>
          <t>Retenção - ISS Serviços Tomados</t>
        </is>
      </c>
      <c r="H116" s="3" t="inlineStr">
        <is>
          <t>2025-08</t>
        </is>
      </c>
      <c r="I116" s="3" t="n"/>
      <c r="J116" s="3" t="n"/>
    </row>
    <row r="117">
      <c r="A117" s="6" t="n">
        <v>45870</v>
      </c>
      <c r="B117" s="3" t="inlineStr">
        <is>
          <t>Legal &amp; Accounting Expenses</t>
        </is>
      </c>
      <c r="C117" s="3" t="inlineStr">
        <is>
          <t>BHUB.AI</t>
        </is>
      </c>
      <c r="D117" s="3" t="inlineStr">
        <is>
          <t>NF 34182 - BHUB - MENSALIDADE BPO FINANCEIRO</t>
        </is>
      </c>
      <c r="E117" s="3" t="n">
        <v>-3294.14</v>
      </c>
      <c r="F117" s="3" t="inlineStr">
        <is>
          <t>Débito</t>
        </is>
      </c>
      <c r="G117" s="3" t="inlineStr">
        <is>
          <t>Honorários BPO Financeiro</t>
        </is>
      </c>
      <c r="H117" s="3" t="inlineStr">
        <is>
          <t>2025-08</t>
        </is>
      </c>
      <c r="I117" s="3" t="n"/>
      <c r="J117" s="3" t="n"/>
    </row>
    <row r="118">
      <c r="A118" s="6" t="n">
        <v>45870</v>
      </c>
      <c r="B118" s="3" t="inlineStr">
        <is>
          <t>Legal &amp; Accounting Expenses</t>
        </is>
      </c>
      <c r="C118" s="3" t="inlineStr">
        <is>
          <t>BHUB.AI</t>
        </is>
      </c>
      <c r="D118" s="3" t="inlineStr">
        <is>
          <t>NF 34182 - BHUB  - MENSALIDADE CONTÁBIL</t>
        </is>
      </c>
      <c r="E118" s="3" t="n">
        <v>-1251.77</v>
      </c>
      <c r="F118" s="3" t="inlineStr">
        <is>
          <t>Débito</t>
        </is>
      </c>
      <c r="G118" s="3" t="inlineStr">
        <is>
          <t>Honorários Contábeis</t>
        </is>
      </c>
      <c r="H118" s="3" t="inlineStr">
        <is>
          <t>2025-08</t>
        </is>
      </c>
      <c r="I118" s="3" t="n"/>
      <c r="J118" s="3" t="n"/>
    </row>
    <row r="119">
      <c r="A119" s="6" t="n">
        <v>45910</v>
      </c>
      <c r="B119" s="3" t="inlineStr">
        <is>
          <t>Marketing &amp; Growth Expenses</t>
        </is>
      </c>
      <c r="C119" s="3" t="n"/>
      <c r="D119" s="3" t="inlineStr">
        <is>
          <t>Alef Rodrigues dos Santos Borges - Transferência | Pix</t>
        </is>
      </c>
      <c r="E119" s="3" t="n">
        <v>-210</v>
      </c>
      <c r="F119" s="3" t="inlineStr">
        <is>
          <t>Débito</t>
        </is>
      </c>
      <c r="G119" s="3" t="inlineStr">
        <is>
          <t>Marketing e Publicidade - Sem NF</t>
        </is>
      </c>
      <c r="H119" s="3" t="inlineStr">
        <is>
          <t>2025-09</t>
        </is>
      </c>
      <c r="I119" s="3" t="n"/>
      <c r="J119" s="3" t="n"/>
    </row>
    <row r="120">
      <c r="A120" s="6" t="n">
        <v>45910</v>
      </c>
      <c r="B120" s="3" t="inlineStr">
        <is>
          <t>Marketing &amp; Growth Expenses</t>
        </is>
      </c>
      <c r="C120" s="3" t="n"/>
      <c r="D120" s="3" t="inlineStr">
        <is>
          <t>ANTONIA ROSYANNY SOARES CAVALCANTE - Transferência | Pix</t>
        </is>
      </c>
      <c r="E120" s="3" t="n">
        <v>-88</v>
      </c>
      <c r="F120" s="3" t="inlineStr">
        <is>
          <t>Débito</t>
        </is>
      </c>
      <c r="G120" s="3" t="inlineStr">
        <is>
          <t>Marketing e Publicidade - Sem NF</t>
        </is>
      </c>
      <c r="H120" s="3" t="inlineStr">
        <is>
          <t>2025-09</t>
        </is>
      </c>
      <c r="I120" s="3" t="n"/>
      <c r="J120" s="3" t="n"/>
    </row>
    <row r="121">
      <c r="A121" s="6" t="n">
        <v>45910</v>
      </c>
      <c r="B121" s="3" t="inlineStr">
        <is>
          <t>Marketing &amp; Growth Expenses</t>
        </is>
      </c>
      <c r="C121" s="3" t="n"/>
      <c r="D121" s="3" t="inlineStr">
        <is>
          <t>Aline lopes da silva - Transferência | Pix</t>
        </is>
      </c>
      <c r="E121" s="3" t="n">
        <v>-196</v>
      </c>
      <c r="F121" s="3" t="inlineStr">
        <is>
          <t>Débito</t>
        </is>
      </c>
      <c r="G121" s="3" t="inlineStr">
        <is>
          <t>Marketing e Publicidade - Sem NF</t>
        </is>
      </c>
      <c r="H121" s="3" t="inlineStr">
        <is>
          <t>2025-09</t>
        </is>
      </c>
      <c r="I121" s="3" t="n"/>
      <c r="J121" s="3" t="n"/>
    </row>
    <row r="122">
      <c r="A122" s="6" t="n">
        <v>45910</v>
      </c>
      <c r="B122" s="3" t="inlineStr">
        <is>
          <t>Marketing &amp; Growth Expenses</t>
        </is>
      </c>
      <c r="C122" s="3" t="n"/>
      <c r="D122" s="3" t="inlineStr">
        <is>
          <t>ANA PAULA SILVA MAGGI - Transferência | Pix</t>
        </is>
      </c>
      <c r="E122" s="3" t="n">
        <v>-68</v>
      </c>
      <c r="F122" s="3" t="inlineStr">
        <is>
          <t>Débito</t>
        </is>
      </c>
      <c r="G122" s="3" t="inlineStr">
        <is>
          <t>Marketing e Publicidade - Sem NF</t>
        </is>
      </c>
      <c r="H122" s="3" t="inlineStr">
        <is>
          <t>2025-09</t>
        </is>
      </c>
      <c r="I122" s="3" t="n"/>
      <c r="J122" s="3" t="n"/>
    </row>
    <row r="123">
      <c r="A123" s="6" t="n">
        <v>45910</v>
      </c>
      <c r="B123" s="3" t="inlineStr">
        <is>
          <t>Marketing &amp; Growth Expenses</t>
        </is>
      </c>
      <c r="C123" s="3" t="n"/>
      <c r="D123" s="3" t="inlineStr">
        <is>
          <t>Alice Magalhaes Sampaio - Transferência | Pix</t>
        </is>
      </c>
      <c r="E123" s="3" t="n">
        <v>-30</v>
      </c>
      <c r="F123" s="3" t="inlineStr">
        <is>
          <t>Débito</t>
        </is>
      </c>
      <c r="G123" s="3" t="inlineStr">
        <is>
          <t>Marketing e Publicidade - Sem NF</t>
        </is>
      </c>
      <c r="H123" s="3" t="inlineStr">
        <is>
          <t>2025-09</t>
        </is>
      </c>
      <c r="I123" s="3" t="n"/>
      <c r="J123" s="3" t="n"/>
    </row>
    <row r="124">
      <c r="A124" s="6" t="n">
        <v>45910</v>
      </c>
      <c r="B124" s="3" t="inlineStr">
        <is>
          <t>Marketing &amp; Growth Expenses</t>
        </is>
      </c>
      <c r="C124" s="3" t="n"/>
      <c r="D124" s="3" t="inlineStr">
        <is>
          <t>Amanda Lima Dos Santos - Transferência | Pix</t>
        </is>
      </c>
      <c r="E124" s="3" t="n">
        <v>-64</v>
      </c>
      <c r="F124" s="3" t="inlineStr">
        <is>
          <t>Débito</t>
        </is>
      </c>
      <c r="G124" s="3" t="inlineStr">
        <is>
          <t>Marketing e Publicidade - Sem NF</t>
        </is>
      </c>
      <c r="H124" s="3" t="inlineStr">
        <is>
          <t>2025-09</t>
        </is>
      </c>
      <c r="I124" s="3" t="n"/>
      <c r="J124" s="3" t="n"/>
    </row>
    <row r="125">
      <c r="A125" s="6" t="n">
        <v>45910</v>
      </c>
      <c r="B125" s="3" t="inlineStr">
        <is>
          <t>Marketing &amp; Growth Expenses</t>
        </is>
      </c>
      <c r="C125" s="3" t="n"/>
      <c r="D125" s="3" t="inlineStr">
        <is>
          <t>ANDERSON DOS SANTOS SILVA - Transferência | Pix</t>
        </is>
      </c>
      <c r="E125" s="3" t="n">
        <v>-4</v>
      </c>
      <c r="F125" s="3" t="inlineStr">
        <is>
          <t>Débito</t>
        </is>
      </c>
      <c r="G125" s="3" t="inlineStr">
        <is>
          <t>Marketing e Publicidade - Sem NF</t>
        </is>
      </c>
      <c r="H125" s="3" t="inlineStr">
        <is>
          <t>2025-09</t>
        </is>
      </c>
      <c r="I125" s="3" t="n"/>
      <c r="J125" s="3" t="n"/>
    </row>
    <row r="126">
      <c r="A126" s="6" t="n">
        <v>45910</v>
      </c>
      <c r="B126" s="3" t="inlineStr">
        <is>
          <t>Marketing &amp; Growth Expenses</t>
        </is>
      </c>
      <c r="C126" s="3" t="n"/>
      <c r="D126" s="3" t="inlineStr">
        <is>
          <t>ANA CLARA NASCIMENTO DA SILVA - Transferência | Pix</t>
        </is>
      </c>
      <c r="E126" s="3" t="n">
        <v>-2</v>
      </c>
      <c r="F126" s="3" t="inlineStr">
        <is>
          <t>Débito</t>
        </is>
      </c>
      <c r="G126" s="3" t="inlineStr">
        <is>
          <t>Marketing e Publicidade - Sem NF</t>
        </is>
      </c>
      <c r="H126" s="3" t="inlineStr">
        <is>
          <t>2025-09</t>
        </is>
      </c>
      <c r="I126" s="3" t="n"/>
      <c r="J126" s="3" t="n"/>
    </row>
    <row r="127">
      <c r="A127" s="6" t="n">
        <v>45910</v>
      </c>
      <c r="B127" s="3" t="inlineStr">
        <is>
          <t>Marketing &amp; Growth Expenses</t>
        </is>
      </c>
      <c r="C127" s="3" t="n"/>
      <c r="D127" s="3" t="inlineStr">
        <is>
          <t>Ana Julia Araujo Menezes - Transferência | Pix</t>
        </is>
      </c>
      <c r="E127" s="3" t="n">
        <v>-12</v>
      </c>
      <c r="F127" s="3" t="inlineStr">
        <is>
          <t>Débito</t>
        </is>
      </c>
      <c r="G127" s="3" t="inlineStr">
        <is>
          <t>Marketing e Publicidade - Sem NF</t>
        </is>
      </c>
      <c r="H127" s="3" t="inlineStr">
        <is>
          <t>2025-09</t>
        </is>
      </c>
      <c r="I127" s="3" t="n"/>
      <c r="J127" s="3" t="n"/>
    </row>
    <row r="128">
      <c r="A128" s="6" t="n">
        <v>45910</v>
      </c>
      <c r="B128" s="3" t="inlineStr">
        <is>
          <t>Marketing &amp; Growth Expenses</t>
        </is>
      </c>
      <c r="C128" s="3" t="n"/>
      <c r="D128" s="3" t="inlineStr">
        <is>
          <t>Ana Karolina Pinto Cruz Mascarenhas - Transferência | Pix</t>
        </is>
      </c>
      <c r="E128" s="3" t="n">
        <v>-2</v>
      </c>
      <c r="F128" s="3" t="inlineStr">
        <is>
          <t>Débito</t>
        </is>
      </c>
      <c r="G128" s="3" t="inlineStr">
        <is>
          <t>Marketing e Publicidade - Sem NF</t>
        </is>
      </c>
      <c r="H128" s="3" t="inlineStr">
        <is>
          <t>2025-09</t>
        </is>
      </c>
      <c r="I128" s="3" t="n"/>
      <c r="J128" s="3" t="n"/>
    </row>
    <row r="129">
      <c r="A129" s="6" t="n">
        <v>45910</v>
      </c>
      <c r="B129" s="3" t="inlineStr">
        <is>
          <t>Marketing &amp; Growth Expenses</t>
        </is>
      </c>
      <c r="C129" s="3" t="n"/>
      <c r="D129" s="3" t="inlineStr">
        <is>
          <t>Andre Henrique Baggio - Transferência | Pix</t>
        </is>
      </c>
      <c r="E129" s="3" t="n">
        <v>-4</v>
      </c>
      <c r="F129" s="3" t="inlineStr">
        <is>
          <t>Débito</t>
        </is>
      </c>
      <c r="G129" s="3" t="inlineStr">
        <is>
          <t>Marketing e Publicidade - Sem NF</t>
        </is>
      </c>
      <c r="H129" s="3" t="inlineStr">
        <is>
          <t>2025-09</t>
        </is>
      </c>
      <c r="I129" s="3" t="n"/>
      <c r="J129" s="3" t="n"/>
    </row>
    <row r="130">
      <c r="A130" s="6" t="n">
        <v>45910</v>
      </c>
      <c r="B130" s="3" t="inlineStr">
        <is>
          <t>Marketing &amp; Growth Expenses</t>
        </is>
      </c>
      <c r="C130" s="3" t="n"/>
      <c r="D130" s="3" t="inlineStr">
        <is>
          <t>Beatriz Cubateli Bogo - Transferência | Pix</t>
        </is>
      </c>
      <c r="E130" s="3" t="n">
        <v>-34</v>
      </c>
      <c r="F130" s="3" t="inlineStr">
        <is>
          <t>Débito</t>
        </is>
      </c>
      <c r="G130" s="3" t="inlineStr">
        <is>
          <t>Marketing e Publicidade - Sem NF</t>
        </is>
      </c>
      <c r="H130" s="3" t="inlineStr">
        <is>
          <t>2025-09</t>
        </is>
      </c>
      <c r="I130" s="3" t="n"/>
      <c r="J130" s="3" t="n"/>
    </row>
    <row r="131">
      <c r="A131" s="6" t="n">
        <v>45910</v>
      </c>
      <c r="B131" s="3" t="inlineStr">
        <is>
          <t>Marketing &amp; Growth Expenses</t>
        </is>
      </c>
      <c r="C131" s="3" t="n"/>
      <c r="D131" s="3" t="inlineStr">
        <is>
          <t>Ana Maria Reis Curvelo Ferreira - Transferência | Pix</t>
        </is>
      </c>
      <c r="E131" s="3" t="n">
        <v>-106</v>
      </c>
      <c r="F131" s="3" t="inlineStr">
        <is>
          <t>Débito</t>
        </is>
      </c>
      <c r="G131" s="3" t="inlineStr">
        <is>
          <t>Marketing e Publicidade - Sem NF</t>
        </is>
      </c>
      <c r="H131" s="3" t="inlineStr">
        <is>
          <t>2025-09</t>
        </is>
      </c>
      <c r="I131" s="3" t="n"/>
      <c r="J131" s="3" t="n"/>
    </row>
    <row r="132">
      <c r="A132" s="6" t="n">
        <v>45910</v>
      </c>
      <c r="B132" s="3" t="inlineStr">
        <is>
          <t>Marketing &amp; Growth Expenses</t>
        </is>
      </c>
      <c r="C132" s="3" t="n"/>
      <c r="D132" s="3" t="inlineStr">
        <is>
          <t>Carivaldo Rodrigues de Rezende Neto - Transferência | Pix</t>
        </is>
      </c>
      <c r="E132" s="3" t="n">
        <v>-40</v>
      </c>
      <c r="F132" s="3" t="inlineStr">
        <is>
          <t>Débito</t>
        </is>
      </c>
      <c r="G132" s="3" t="inlineStr">
        <is>
          <t>Marketing e Publicidade - Sem NF</t>
        </is>
      </c>
      <c r="H132" s="3" t="inlineStr">
        <is>
          <t>2025-09</t>
        </is>
      </c>
      <c r="I132" s="3" t="n"/>
      <c r="J132" s="3" t="n"/>
    </row>
    <row r="133">
      <c r="A133" s="6" t="n">
        <v>45910</v>
      </c>
      <c r="B133" s="3" t="inlineStr">
        <is>
          <t>Marketing &amp; Growth Expenses</t>
        </is>
      </c>
      <c r="C133" s="3" t="n"/>
      <c r="D133" s="3" t="inlineStr">
        <is>
          <t>Brenda Martins Gomes - Transferência | Pix</t>
        </is>
      </c>
      <c r="E133" s="3" t="n">
        <v>-376</v>
      </c>
      <c r="F133" s="3" t="inlineStr">
        <is>
          <t>Débito</t>
        </is>
      </c>
      <c r="G133" s="3" t="inlineStr">
        <is>
          <t>Marketing e Publicidade - Sem NF</t>
        </is>
      </c>
      <c r="H133" s="3" t="inlineStr">
        <is>
          <t>2025-09</t>
        </is>
      </c>
      <c r="I133" s="3" t="n"/>
      <c r="J133" s="3" t="n"/>
    </row>
    <row r="134">
      <c r="A134" s="6" t="n">
        <v>45910</v>
      </c>
      <c r="B134" s="3" t="inlineStr">
        <is>
          <t>Marketing &amp; Growth Expenses</t>
        </is>
      </c>
      <c r="C134" s="3" t="n"/>
      <c r="D134" s="3" t="inlineStr">
        <is>
          <t>Ana Rita dos Santos Falcao - Transferência | Pix</t>
        </is>
      </c>
      <c r="E134" s="3" t="n">
        <v>-32</v>
      </c>
      <c r="F134" s="3" t="inlineStr">
        <is>
          <t>Débito</t>
        </is>
      </c>
      <c r="G134" s="3" t="inlineStr">
        <is>
          <t>Marketing e Publicidade - Sem NF</t>
        </is>
      </c>
      <c r="H134" s="3" t="inlineStr">
        <is>
          <t>2025-09</t>
        </is>
      </c>
      <c r="I134" s="3" t="n"/>
      <c r="J134" s="3" t="n"/>
    </row>
    <row r="135">
      <c r="A135" s="6" t="n">
        <v>45910</v>
      </c>
      <c r="B135" s="3" t="inlineStr">
        <is>
          <t>Marketing &amp; Growth Expenses</t>
        </is>
      </c>
      <c r="C135" s="3" t="n"/>
      <c r="D135" s="3" t="inlineStr">
        <is>
          <t>CAYKI VALVERDE GALDINO - Transferência | Pix</t>
        </is>
      </c>
      <c r="E135" s="3" t="n">
        <v>-106</v>
      </c>
      <c r="F135" s="3" t="inlineStr">
        <is>
          <t>Débito</t>
        </is>
      </c>
      <c r="G135" s="3" t="inlineStr">
        <is>
          <t>Marketing e Publicidade - Sem NF</t>
        </is>
      </c>
      <c r="H135" s="3" t="inlineStr">
        <is>
          <t>2025-09</t>
        </is>
      </c>
      <c r="I135" s="3" t="n"/>
      <c r="J135" s="3" t="n"/>
    </row>
    <row r="136">
      <c r="A136" s="6" t="n">
        <v>45910</v>
      </c>
      <c r="B136" s="3" t="inlineStr">
        <is>
          <t>Marketing &amp; Growth Expenses</t>
        </is>
      </c>
      <c r="C136" s="3" t="n"/>
      <c r="D136" s="3" t="inlineStr">
        <is>
          <t>Cassiane Dos Santos Miranda - Transferência | Pix</t>
        </is>
      </c>
      <c r="E136" s="3" t="n">
        <v>-4</v>
      </c>
      <c r="F136" s="3" t="inlineStr">
        <is>
          <t>Débito</t>
        </is>
      </c>
      <c r="G136" s="3" t="inlineStr">
        <is>
          <t>Marketing e Publicidade - Sem NF</t>
        </is>
      </c>
      <c r="H136" s="3" t="inlineStr">
        <is>
          <t>2025-09</t>
        </is>
      </c>
      <c r="I136" s="3" t="n"/>
      <c r="J136" s="3" t="n"/>
    </row>
    <row r="137">
      <c r="A137" s="6" t="n">
        <v>45910</v>
      </c>
      <c r="B137" s="3" t="inlineStr">
        <is>
          <t>Marketing &amp; Growth Expenses</t>
        </is>
      </c>
      <c r="C137" s="3" t="n"/>
      <c r="D137" s="3" t="inlineStr">
        <is>
          <t>Clara Cristina Morais dos Santos - Transferência | Pix</t>
        </is>
      </c>
      <c r="E137" s="3" t="n">
        <v>-106</v>
      </c>
      <c r="F137" s="3" t="inlineStr">
        <is>
          <t>Débito</t>
        </is>
      </c>
      <c r="G137" s="3" t="inlineStr">
        <is>
          <t>Marketing e Publicidade - Sem NF</t>
        </is>
      </c>
      <c r="H137" s="3" t="inlineStr">
        <is>
          <t>2025-09</t>
        </is>
      </c>
      <c r="I137" s="3" t="n"/>
      <c r="J137" s="3" t="n"/>
    </row>
    <row r="138">
      <c r="A138" s="6" t="n">
        <v>45910</v>
      </c>
      <c r="B138" s="3" t="inlineStr">
        <is>
          <t>Marketing &amp; Growth Expenses</t>
        </is>
      </c>
      <c r="C138" s="3" t="n"/>
      <c r="D138" s="3" t="inlineStr">
        <is>
          <t>DEIVID KAUE LIMA CAMPOS - Transferência | Pix</t>
        </is>
      </c>
      <c r="E138" s="3" t="n">
        <v>-398</v>
      </c>
      <c r="F138" s="3" t="inlineStr">
        <is>
          <t>Débito</t>
        </is>
      </c>
      <c r="G138" s="3" t="inlineStr">
        <is>
          <t>Marketing e Publicidade - Sem NF</t>
        </is>
      </c>
      <c r="H138" s="3" t="inlineStr">
        <is>
          <t>2025-09</t>
        </is>
      </c>
      <c r="I138" s="3" t="n"/>
      <c r="J138" s="3" t="n"/>
    </row>
    <row r="139">
      <c r="A139" s="6" t="n">
        <v>45910</v>
      </c>
      <c r="B139" s="3" t="inlineStr">
        <is>
          <t>Marketing &amp; Growth Expenses</t>
        </is>
      </c>
      <c r="C139" s="3" t="n"/>
      <c r="D139" s="3" t="inlineStr">
        <is>
          <t>DANILO PEREIRA DOS ANJOS - Transferência | Pix</t>
        </is>
      </c>
      <c r="E139" s="3" t="n">
        <v>-122</v>
      </c>
      <c r="F139" s="3" t="inlineStr">
        <is>
          <t>Débito</t>
        </is>
      </c>
      <c r="G139" s="3" t="inlineStr">
        <is>
          <t>Marketing e Publicidade - Sem NF</t>
        </is>
      </c>
      <c r="H139" s="3" t="inlineStr">
        <is>
          <t>2025-09</t>
        </is>
      </c>
      <c r="I139" s="3" t="n"/>
      <c r="J139" s="3" t="n"/>
    </row>
    <row r="140">
      <c r="A140" s="6" t="n">
        <v>45910</v>
      </c>
      <c r="B140" s="3" t="inlineStr">
        <is>
          <t>Marketing &amp; Growth Expenses</t>
        </is>
      </c>
      <c r="C140" s="3" t="n"/>
      <c r="D140" s="3" t="inlineStr">
        <is>
          <t>DIEGO CARDOSO FERREIRA - Transferência | Pix</t>
        </is>
      </c>
      <c r="E140" s="3" t="n">
        <v>-70</v>
      </c>
      <c r="F140" s="3" t="inlineStr">
        <is>
          <t>Débito</t>
        </is>
      </c>
      <c r="G140" s="3" t="inlineStr">
        <is>
          <t>Marketing e Publicidade - Sem NF</t>
        </is>
      </c>
      <c r="H140" s="3" t="inlineStr">
        <is>
          <t>2025-09</t>
        </is>
      </c>
      <c r="I140" s="3" t="n"/>
      <c r="J140" s="3" t="n"/>
    </row>
    <row r="141">
      <c r="A141" s="6" t="n">
        <v>45910</v>
      </c>
      <c r="B141" s="3" t="inlineStr">
        <is>
          <t>Marketing &amp; Growth Expenses</t>
        </is>
      </c>
      <c r="C141" s="3" t="n"/>
      <c r="D141" s="3" t="inlineStr">
        <is>
          <t>DIEGO DYBA - Transferência | Pix</t>
        </is>
      </c>
      <c r="E141" s="3" t="n">
        <v>-112</v>
      </c>
      <c r="F141" s="3" t="inlineStr">
        <is>
          <t>Débito</t>
        </is>
      </c>
      <c r="G141" s="3" t="inlineStr">
        <is>
          <t>Marketing e Publicidade - Sem NF</t>
        </is>
      </c>
      <c r="H141" s="3" t="inlineStr">
        <is>
          <t>2025-09</t>
        </is>
      </c>
      <c r="I141" s="3" t="n"/>
      <c r="J141" s="3" t="n"/>
    </row>
    <row r="142">
      <c r="A142" s="6" t="n">
        <v>45910</v>
      </c>
      <c r="B142" s="3" t="inlineStr">
        <is>
          <t>Marketing &amp; Growth Expenses</t>
        </is>
      </c>
      <c r="C142" s="3" t="n"/>
      <c r="D142" s="3" t="inlineStr">
        <is>
          <t>ALEXANDRE PEREIRA DE ALMEIDA MOTTA - Transferência | Pix</t>
        </is>
      </c>
      <c r="E142" s="3" t="n">
        <v>-84</v>
      </c>
      <c r="F142" s="3" t="inlineStr">
        <is>
          <t>Débito</t>
        </is>
      </c>
      <c r="G142" s="3" t="inlineStr">
        <is>
          <t>Marketing e Publicidade - Sem NF</t>
        </is>
      </c>
      <c r="H142" s="3" t="inlineStr">
        <is>
          <t>2025-09</t>
        </is>
      </c>
      <c r="I142" s="3" t="n"/>
      <c r="J142" s="3" t="n"/>
    </row>
    <row r="143">
      <c r="A143" s="6" t="n">
        <v>45910</v>
      </c>
      <c r="B143" s="3" t="inlineStr">
        <is>
          <t>Marketing &amp; Growth Expenses</t>
        </is>
      </c>
      <c r="C143" s="3" t="n"/>
      <c r="D143" s="3" t="inlineStr">
        <is>
          <t>EMILY RAPHAELI FERNANDES - Transferência | Pix</t>
        </is>
      </c>
      <c r="E143" s="3" t="n">
        <v>-98</v>
      </c>
      <c r="F143" s="3" t="inlineStr">
        <is>
          <t>Débito</t>
        </is>
      </c>
      <c r="G143" s="3" t="inlineStr">
        <is>
          <t>Marketing e Publicidade - Sem NF</t>
        </is>
      </c>
      <c r="H143" s="3" t="inlineStr">
        <is>
          <t>2025-09</t>
        </is>
      </c>
      <c r="I143" s="3" t="n"/>
      <c r="J143" s="3" t="n"/>
    </row>
    <row r="144">
      <c r="A144" s="6" t="n">
        <v>45910</v>
      </c>
      <c r="B144" s="3" t="inlineStr">
        <is>
          <t>Marketing &amp; Growth Expenses</t>
        </is>
      </c>
      <c r="C144" s="3" t="n"/>
      <c r="D144" s="3" t="inlineStr">
        <is>
          <t>Daniel Santana de Lima - Transferência | Pix</t>
        </is>
      </c>
      <c r="E144" s="3" t="n">
        <v>-40</v>
      </c>
      <c r="F144" s="3" t="inlineStr">
        <is>
          <t>Débito</t>
        </is>
      </c>
      <c r="G144" s="3" t="inlineStr">
        <is>
          <t>Marketing e Publicidade - Sem NF</t>
        </is>
      </c>
      <c r="H144" s="3" t="inlineStr">
        <is>
          <t>2025-09</t>
        </is>
      </c>
      <c r="I144" s="3" t="n"/>
      <c r="J144" s="3" t="n"/>
    </row>
    <row r="145">
      <c r="A145" s="6" t="n">
        <v>45910</v>
      </c>
      <c r="B145" s="3" t="inlineStr">
        <is>
          <t>Marketing &amp; Growth Expenses</t>
        </is>
      </c>
      <c r="C145" s="3" t="n"/>
      <c r="D145" s="3" t="inlineStr">
        <is>
          <t>Diogo de Souza Saldanha - Transferência | Pix</t>
        </is>
      </c>
      <c r="E145" s="3" t="n">
        <v>-208</v>
      </c>
      <c r="F145" s="3" t="inlineStr">
        <is>
          <t>Débito</t>
        </is>
      </c>
      <c r="G145" s="3" t="inlineStr">
        <is>
          <t>Marketing e Publicidade - Sem NF</t>
        </is>
      </c>
      <c r="H145" s="3" t="inlineStr">
        <is>
          <t>2025-09</t>
        </is>
      </c>
      <c r="I145" s="3" t="n"/>
      <c r="J145" s="3" t="n"/>
    </row>
    <row r="146">
      <c r="A146" s="6" t="n">
        <v>45910</v>
      </c>
      <c r="B146" s="3" t="inlineStr">
        <is>
          <t>Marketing &amp; Growth Expenses</t>
        </is>
      </c>
      <c r="C146" s="3" t="n"/>
      <c r="D146" s="3" t="inlineStr">
        <is>
          <t>Emmanuela Vitoria Raimundo Mariano da Cruz - Transferência | Pix</t>
        </is>
      </c>
      <c r="E146" s="3" t="n">
        <v>-382</v>
      </c>
      <c r="F146" s="3" t="inlineStr">
        <is>
          <t>Débito</t>
        </is>
      </c>
      <c r="G146" s="3" t="inlineStr">
        <is>
          <t>Marketing e Publicidade - Sem NF</t>
        </is>
      </c>
      <c r="H146" s="3" t="inlineStr">
        <is>
          <t>2025-09</t>
        </is>
      </c>
      <c r="I146" s="3" t="n"/>
      <c r="J146" s="3" t="n"/>
    </row>
    <row r="147">
      <c r="A147" s="6" t="n">
        <v>45910</v>
      </c>
      <c r="B147" s="3" t="inlineStr">
        <is>
          <t>Marketing &amp; Growth Expenses</t>
        </is>
      </c>
      <c r="C147" s="3" t="n"/>
      <c r="D147" s="3" t="inlineStr">
        <is>
          <t>Eliton Dioni Oliveira da Silva - Transferência | Pix</t>
        </is>
      </c>
      <c r="E147" s="3" t="n">
        <v>-132</v>
      </c>
      <c r="F147" s="3" t="inlineStr">
        <is>
          <t>Débito</t>
        </is>
      </c>
      <c r="G147" s="3" t="inlineStr">
        <is>
          <t>Marketing e Publicidade - Sem NF</t>
        </is>
      </c>
      <c r="H147" s="3" t="inlineStr">
        <is>
          <t>2025-09</t>
        </is>
      </c>
      <c r="I147" s="3" t="n"/>
      <c r="J147" s="3" t="n"/>
    </row>
    <row r="148">
      <c r="A148" s="6" t="n">
        <v>45910</v>
      </c>
      <c r="B148" s="3" t="inlineStr">
        <is>
          <t>Marketing &amp; Growth Expenses</t>
        </is>
      </c>
      <c r="C148" s="3" t="n"/>
      <c r="D148" s="3" t="inlineStr">
        <is>
          <t>EDER FELIX DOS SANTOS - Transferência | Pix</t>
        </is>
      </c>
      <c r="E148" s="3" t="n">
        <v>-20</v>
      </c>
      <c r="F148" s="3" t="inlineStr">
        <is>
          <t>Débito</t>
        </is>
      </c>
      <c r="G148" s="3" t="inlineStr">
        <is>
          <t>Marketing e Publicidade - Sem NF</t>
        </is>
      </c>
      <c r="H148" s="3" t="inlineStr">
        <is>
          <t>2025-09</t>
        </is>
      </c>
      <c r="I148" s="3" t="n"/>
      <c r="J148" s="3" t="n"/>
    </row>
    <row r="149">
      <c r="A149" s="6" t="n">
        <v>45910</v>
      </c>
      <c r="B149" s="3" t="inlineStr">
        <is>
          <t>Marketing &amp; Growth Expenses</t>
        </is>
      </c>
      <c r="C149" s="3" t="n"/>
      <c r="D149" s="3" t="inlineStr">
        <is>
          <t>Emmanuel Camilo Lourenco - Transferência | Pix</t>
        </is>
      </c>
      <c r="E149" s="3" t="n">
        <v>-4</v>
      </c>
      <c r="F149" s="3" t="inlineStr">
        <is>
          <t>Débito</t>
        </is>
      </c>
      <c r="G149" s="3" t="inlineStr">
        <is>
          <t>Marketing e Publicidade - Sem NF</t>
        </is>
      </c>
      <c r="H149" s="3" t="inlineStr">
        <is>
          <t>2025-09</t>
        </is>
      </c>
      <c r="I149" s="3" t="n"/>
      <c r="J149" s="3" t="n"/>
    </row>
    <row r="150">
      <c r="A150" s="6" t="n">
        <v>45910</v>
      </c>
      <c r="B150" s="3" t="inlineStr">
        <is>
          <t>Marketing &amp; Growth Expenses</t>
        </is>
      </c>
      <c r="C150" s="3" t="n"/>
      <c r="D150" s="3" t="inlineStr">
        <is>
          <t>Erika da Silva Vieira - Transferência | Pix</t>
        </is>
      </c>
      <c r="E150" s="3" t="n">
        <v>-110</v>
      </c>
      <c r="F150" s="3" t="inlineStr">
        <is>
          <t>Débito</t>
        </is>
      </c>
      <c r="G150" s="3" t="inlineStr">
        <is>
          <t>Marketing e Publicidade - Sem NF</t>
        </is>
      </c>
      <c r="H150" s="3" t="inlineStr">
        <is>
          <t>2025-09</t>
        </is>
      </c>
      <c r="I150" s="3" t="n"/>
      <c r="J150" s="3" t="n"/>
    </row>
    <row r="151">
      <c r="A151" s="6" t="n">
        <v>45910</v>
      </c>
      <c r="B151" s="3" t="inlineStr">
        <is>
          <t>Marketing &amp; Growth Expenses</t>
        </is>
      </c>
      <c r="C151" s="3" t="n"/>
      <c r="D151" s="3" t="inlineStr">
        <is>
          <t>FRANCISCO DAVI GOMES CASTRO - Transferência | Pix</t>
        </is>
      </c>
      <c r="E151" s="3" t="n">
        <v>-184</v>
      </c>
      <c r="F151" s="3" t="inlineStr">
        <is>
          <t>Débito</t>
        </is>
      </c>
      <c r="G151" s="3" t="inlineStr">
        <is>
          <t>Marketing e Publicidade - Sem NF</t>
        </is>
      </c>
      <c r="H151" s="3" t="inlineStr">
        <is>
          <t>2025-09</t>
        </is>
      </c>
      <c r="I151" s="3" t="n"/>
      <c r="J151" s="3" t="n"/>
    </row>
    <row r="152">
      <c r="A152" s="6" t="n">
        <v>45910</v>
      </c>
      <c r="B152" s="3" t="inlineStr">
        <is>
          <t>Marketing &amp; Growth Expenses</t>
        </is>
      </c>
      <c r="C152" s="3" t="n"/>
      <c r="D152" s="3" t="inlineStr">
        <is>
          <t>EDUARDA CAROLINI GONCALVES DA SILVA - Transferência | Pix</t>
        </is>
      </c>
      <c r="E152" s="3" t="n">
        <v>-56</v>
      </c>
      <c r="F152" s="3" t="inlineStr">
        <is>
          <t>Débito</t>
        </is>
      </c>
      <c r="G152" s="3" t="inlineStr">
        <is>
          <t>Marketing e Publicidade - Sem NF</t>
        </is>
      </c>
      <c r="H152" s="3" t="inlineStr">
        <is>
          <t>2025-09</t>
        </is>
      </c>
      <c r="I152" s="3" t="n"/>
      <c r="J152" s="3" t="n"/>
    </row>
    <row r="153">
      <c r="A153" s="6" t="n">
        <v>45910</v>
      </c>
      <c r="B153" s="3" t="inlineStr">
        <is>
          <t>Marketing &amp; Growth Expenses</t>
        </is>
      </c>
      <c r="C153" s="3" t="n"/>
      <c r="D153" s="3" t="inlineStr">
        <is>
          <t>ELAINE FERNANDA DA SILVA LUSTOSA - Transferência | Pix</t>
        </is>
      </c>
      <c r="E153" s="3" t="n">
        <v>-144</v>
      </c>
      <c r="F153" s="3" t="inlineStr">
        <is>
          <t>Débito</t>
        </is>
      </c>
      <c r="G153" s="3" t="inlineStr">
        <is>
          <t>Marketing e Publicidade - Sem NF</t>
        </is>
      </c>
      <c r="H153" s="3" t="inlineStr">
        <is>
          <t>2025-09</t>
        </is>
      </c>
      <c r="I153" s="3" t="n"/>
      <c r="J153" s="3" t="n"/>
    </row>
    <row r="154">
      <c r="A154" s="6" t="n">
        <v>45910</v>
      </c>
      <c r="B154" s="3" t="inlineStr">
        <is>
          <t>Marketing &amp; Growth Expenses</t>
        </is>
      </c>
      <c r="C154" s="3" t="n"/>
      <c r="D154" s="3" t="inlineStr">
        <is>
          <t>ELENA EDUARDA NICOLACI MARTINS - Transferência | Pix</t>
        </is>
      </c>
      <c r="E154" s="3" t="n">
        <v>-92</v>
      </c>
      <c r="F154" s="3" t="inlineStr">
        <is>
          <t>Débito</t>
        </is>
      </c>
      <c r="G154" s="3" t="inlineStr">
        <is>
          <t>Marketing e Publicidade - Sem NF</t>
        </is>
      </c>
      <c r="H154" s="3" t="inlineStr">
        <is>
          <t>2025-09</t>
        </is>
      </c>
      <c r="I154" s="3" t="n"/>
      <c r="J154" s="3" t="n"/>
    </row>
    <row r="155">
      <c r="A155" s="6" t="n">
        <v>45910</v>
      </c>
      <c r="B155" s="3" t="inlineStr">
        <is>
          <t>Marketing &amp; Growth Expenses</t>
        </is>
      </c>
      <c r="C155" s="3" t="n"/>
      <c r="D155" s="3" t="inlineStr">
        <is>
          <t>Frank Willis de Souza Costa - Transferência | Pix</t>
        </is>
      </c>
      <c r="E155" s="3" t="n">
        <v>-148</v>
      </c>
      <c r="F155" s="3" t="inlineStr">
        <is>
          <t>Débito</t>
        </is>
      </c>
      <c r="G155" s="3" t="inlineStr">
        <is>
          <t>Marketing e Publicidade - Sem NF</t>
        </is>
      </c>
      <c r="H155" s="3" t="inlineStr">
        <is>
          <t>2025-09</t>
        </is>
      </c>
      <c r="I155" s="3" t="n"/>
      <c r="J155" s="3" t="n"/>
    </row>
    <row r="156">
      <c r="A156" s="6" t="n">
        <v>45910</v>
      </c>
      <c r="B156" s="3" t="inlineStr">
        <is>
          <t>Marketing &amp; Growth Expenses</t>
        </is>
      </c>
      <c r="C156" s="3" t="n"/>
      <c r="D156" s="3" t="inlineStr">
        <is>
          <t>Franciene Eduarda da Silva - Transferência | Pix</t>
        </is>
      </c>
      <c r="E156" s="3" t="n">
        <v>-106</v>
      </c>
      <c r="F156" s="3" t="inlineStr">
        <is>
          <t>Débito</t>
        </is>
      </c>
      <c r="G156" s="3" t="inlineStr">
        <is>
          <t>Marketing e Publicidade - Sem NF</t>
        </is>
      </c>
      <c r="H156" s="3" t="inlineStr">
        <is>
          <t>2025-09</t>
        </is>
      </c>
      <c r="I156" s="3" t="n"/>
      <c r="J156" s="3" t="n"/>
    </row>
    <row r="157">
      <c r="A157" s="6" t="n">
        <v>45910</v>
      </c>
      <c r="B157" s="3" t="inlineStr">
        <is>
          <t>Marketing &amp; Growth Expenses</t>
        </is>
      </c>
      <c r="C157" s="3" t="n"/>
      <c r="D157" s="3" t="inlineStr">
        <is>
          <t>GASTANY RUDEL NGOMA MAKOSSO - Transferência | Pix</t>
        </is>
      </c>
      <c r="E157" s="3" t="n">
        <v>-66</v>
      </c>
      <c r="F157" s="3" t="inlineStr">
        <is>
          <t>Débito</t>
        </is>
      </c>
      <c r="G157" s="3" t="inlineStr">
        <is>
          <t>Marketing e Publicidade - Sem NF</t>
        </is>
      </c>
      <c r="H157" s="3" t="inlineStr">
        <is>
          <t>2025-09</t>
        </is>
      </c>
      <c r="I157" s="3" t="n"/>
      <c r="J157" s="3" t="n"/>
    </row>
    <row r="158">
      <c r="A158" s="6" t="n">
        <v>45910</v>
      </c>
      <c r="B158" s="3" t="inlineStr">
        <is>
          <t>Marketing &amp; Growth Expenses</t>
        </is>
      </c>
      <c r="C158" s="3" t="n"/>
      <c r="D158" s="3" t="inlineStr">
        <is>
          <t>GUILHERME BAPTISTA FOUQUET QUAGLIO - Transferência | Pix</t>
        </is>
      </c>
      <c r="E158" s="3" t="n">
        <v>-134</v>
      </c>
      <c r="F158" s="3" t="inlineStr">
        <is>
          <t>Débito</t>
        </is>
      </c>
      <c r="G158" s="3" t="inlineStr">
        <is>
          <t>Marketing e Publicidade - Sem NF</t>
        </is>
      </c>
      <c r="H158" s="3" t="inlineStr">
        <is>
          <t>2025-09</t>
        </is>
      </c>
      <c r="I158" s="3" t="n"/>
      <c r="J158" s="3" t="n"/>
    </row>
    <row r="159">
      <c r="A159" s="6" t="n">
        <v>45910</v>
      </c>
      <c r="B159" s="3" t="inlineStr">
        <is>
          <t>Marketing &amp; Growth Expenses</t>
        </is>
      </c>
      <c r="C159" s="3" t="n"/>
      <c r="D159" s="3" t="inlineStr">
        <is>
          <t>GUSTAVO PERGOLA COLOMBO - Transferência | Pix</t>
        </is>
      </c>
      <c r="E159" s="3" t="n">
        <v>-320</v>
      </c>
      <c r="F159" s="3" t="inlineStr">
        <is>
          <t>Débito</t>
        </is>
      </c>
      <c r="G159" s="3" t="inlineStr">
        <is>
          <t>Marketing e Publicidade - Sem NF</t>
        </is>
      </c>
      <c r="H159" s="3" t="inlineStr">
        <is>
          <t>2025-09</t>
        </is>
      </c>
      <c r="I159" s="3" t="n"/>
      <c r="J159" s="3" t="n"/>
    </row>
    <row r="160">
      <c r="A160" s="6" t="n">
        <v>45910</v>
      </c>
      <c r="B160" s="3" t="inlineStr">
        <is>
          <t>Marketing &amp; Growth Expenses</t>
        </is>
      </c>
      <c r="C160" s="3" t="n"/>
      <c r="D160" s="3" t="inlineStr">
        <is>
          <t>GUSTAVO SANTOS CORDEIRO - Transferência | Pix</t>
        </is>
      </c>
      <c r="E160" s="3" t="n">
        <v>-44</v>
      </c>
      <c r="F160" s="3" t="inlineStr">
        <is>
          <t>Débito</t>
        </is>
      </c>
      <c r="G160" s="3" t="inlineStr">
        <is>
          <t>Marketing e Publicidade - Sem NF</t>
        </is>
      </c>
      <c r="H160" s="3" t="inlineStr">
        <is>
          <t>2025-09</t>
        </is>
      </c>
      <c r="I160" s="3" t="n"/>
      <c r="J160" s="3" t="n"/>
    </row>
    <row r="161">
      <c r="A161" s="6" t="n">
        <v>45910</v>
      </c>
      <c r="B161" s="3" t="inlineStr">
        <is>
          <t>Marketing &amp; Growth Expenses</t>
        </is>
      </c>
      <c r="C161" s="3" t="n"/>
      <c r="D161" s="3" t="inlineStr">
        <is>
          <t>GUSTAVO DIAS ARAUJO LUSTOSA - Transferência | Pix</t>
        </is>
      </c>
      <c r="E161" s="3" t="n">
        <v>-50</v>
      </c>
      <c r="F161" s="3" t="inlineStr">
        <is>
          <t>Débito</t>
        </is>
      </c>
      <c r="G161" s="3" t="inlineStr">
        <is>
          <t>Marketing e Publicidade - Sem NF</t>
        </is>
      </c>
      <c r="H161" s="3" t="inlineStr">
        <is>
          <t>2025-09</t>
        </is>
      </c>
      <c r="I161" s="3" t="n"/>
      <c r="J161" s="3" t="n"/>
    </row>
    <row r="162">
      <c r="A162" s="6" t="n">
        <v>45910</v>
      </c>
      <c r="B162" s="3" t="inlineStr">
        <is>
          <t>Marketing &amp; Growth Expenses</t>
        </is>
      </c>
      <c r="C162" s="3" t="n"/>
      <c r="D162" s="3" t="inlineStr">
        <is>
          <t>Gabriel Domingues Barbosa - Transferência | Pix</t>
        </is>
      </c>
      <c r="E162" s="3" t="n">
        <v>-8</v>
      </c>
      <c r="F162" s="3" t="inlineStr">
        <is>
          <t>Débito</t>
        </is>
      </c>
      <c r="G162" s="3" t="inlineStr">
        <is>
          <t>Marketing e Publicidade - Sem NF</t>
        </is>
      </c>
      <c r="H162" s="3" t="inlineStr">
        <is>
          <t>2025-09</t>
        </is>
      </c>
      <c r="I162" s="3" t="n"/>
      <c r="J162" s="3" t="n"/>
    </row>
    <row r="163">
      <c r="A163" s="6" t="n">
        <v>45910</v>
      </c>
      <c r="B163" s="3" t="inlineStr">
        <is>
          <t>Marketing &amp; Growth Expenses</t>
        </is>
      </c>
      <c r="C163" s="3" t="n"/>
      <c r="D163" s="3" t="inlineStr">
        <is>
          <t>GUSTAVO PERGOLA COLOMBO - Transferência | Pix</t>
        </is>
      </c>
      <c r="E163" s="3" t="n">
        <v>-384</v>
      </c>
      <c r="F163" s="3" t="inlineStr">
        <is>
          <t>Débito</t>
        </is>
      </c>
      <c r="G163" s="3" t="inlineStr">
        <is>
          <t>Marketing e Publicidade - Sem NF</t>
        </is>
      </c>
      <c r="H163" s="3" t="inlineStr">
        <is>
          <t>2025-09</t>
        </is>
      </c>
      <c r="I163" s="3" t="n"/>
      <c r="J163" s="3" t="n"/>
    </row>
    <row r="164">
      <c r="A164" s="6" t="n">
        <v>45910</v>
      </c>
      <c r="B164" s="3" t="inlineStr">
        <is>
          <t>Marketing &amp; Growth Expenses</t>
        </is>
      </c>
      <c r="C164" s="3" t="n"/>
      <c r="D164" s="3" t="inlineStr">
        <is>
          <t>Gabriela Portela dos Santos - Transferência | Pix</t>
        </is>
      </c>
      <c r="E164" s="3" t="n">
        <v>-2</v>
      </c>
      <c r="F164" s="3" t="inlineStr">
        <is>
          <t>Débito</t>
        </is>
      </c>
      <c r="G164" s="3" t="inlineStr">
        <is>
          <t>Marketing e Publicidade - Sem NF</t>
        </is>
      </c>
      <c r="H164" s="3" t="inlineStr">
        <is>
          <t>2025-09</t>
        </is>
      </c>
      <c r="I164" s="3" t="n"/>
      <c r="J164" s="3" t="n"/>
    </row>
    <row r="165">
      <c r="A165" s="6" t="n">
        <v>45910</v>
      </c>
      <c r="B165" s="3" t="inlineStr">
        <is>
          <t>Marketing &amp; Growth Expenses</t>
        </is>
      </c>
      <c r="C165" s="3" t="n"/>
      <c r="D165" s="3" t="inlineStr">
        <is>
          <t>GUSTAVO PERGOLA COLOMBO - Transferência | Pix</t>
        </is>
      </c>
      <c r="E165" s="3" t="n">
        <v>-378</v>
      </c>
      <c r="F165" s="3" t="inlineStr">
        <is>
          <t>Débito</t>
        </is>
      </c>
      <c r="G165" s="3" t="inlineStr">
        <is>
          <t>Marketing e Publicidade - Sem NF</t>
        </is>
      </c>
      <c r="H165" s="3" t="inlineStr">
        <is>
          <t>2025-09</t>
        </is>
      </c>
      <c r="I165" s="3" t="n"/>
      <c r="J165" s="3" t="n"/>
    </row>
    <row r="166">
      <c r="A166" s="6" t="n">
        <v>45910</v>
      </c>
      <c r="B166" s="3" t="inlineStr">
        <is>
          <t>Marketing &amp; Growth Expenses</t>
        </is>
      </c>
      <c r="C166" s="3" t="n"/>
      <c r="D166" s="3" t="inlineStr">
        <is>
          <t>Gilmar Bomfim Rocha Lino Junior - Transferência | Pix</t>
        </is>
      </c>
      <c r="E166" s="3" t="n">
        <v>-296</v>
      </c>
      <c r="F166" s="3" t="inlineStr">
        <is>
          <t>Débito</t>
        </is>
      </c>
      <c r="G166" s="3" t="inlineStr">
        <is>
          <t>Marketing e Publicidade - Sem NF</t>
        </is>
      </c>
      <c r="H166" s="3" t="inlineStr">
        <is>
          <t>2025-09</t>
        </is>
      </c>
      <c r="I166" s="3" t="n"/>
      <c r="J166" s="3" t="n"/>
    </row>
    <row r="167">
      <c r="A167" s="6" t="n">
        <v>45910</v>
      </c>
      <c r="B167" s="3" t="inlineStr">
        <is>
          <t>Marketing &amp; Growth Expenses</t>
        </is>
      </c>
      <c r="C167" s="3" t="n"/>
      <c r="D167" s="3" t="inlineStr">
        <is>
          <t>Gilvania Xavier Dos Santos - Transferência | Pix</t>
        </is>
      </c>
      <c r="E167" s="3" t="n">
        <v>-28</v>
      </c>
      <c r="F167" s="3" t="inlineStr">
        <is>
          <t>Débito</t>
        </is>
      </c>
      <c r="G167" s="3" t="inlineStr">
        <is>
          <t>Marketing e Publicidade - Sem NF</t>
        </is>
      </c>
      <c r="H167" s="3" t="inlineStr">
        <is>
          <t>2025-09</t>
        </is>
      </c>
      <c r="I167" s="3" t="n"/>
      <c r="J167" s="3" t="n"/>
    </row>
    <row r="168">
      <c r="A168" s="6" t="n">
        <v>45910</v>
      </c>
      <c r="B168" s="3" t="inlineStr">
        <is>
          <t>Marketing &amp; Growth Expenses</t>
        </is>
      </c>
      <c r="C168" s="3" t="n"/>
      <c r="D168" s="3" t="inlineStr">
        <is>
          <t>Giovanna Alves Dellanava - Transferência | Pix</t>
        </is>
      </c>
      <c r="E168" s="3" t="n">
        <v>-218</v>
      </c>
      <c r="F168" s="3" t="inlineStr">
        <is>
          <t>Débito</t>
        </is>
      </c>
      <c r="G168" s="3" t="inlineStr">
        <is>
          <t>Marketing e Publicidade - Sem NF</t>
        </is>
      </c>
      <c r="H168" s="3" t="inlineStr">
        <is>
          <t>2025-09</t>
        </is>
      </c>
      <c r="I168" s="3" t="n"/>
      <c r="J168" s="3" t="n"/>
    </row>
    <row r="169">
      <c r="A169" s="6" t="n">
        <v>45910</v>
      </c>
      <c r="B169" s="3" t="inlineStr">
        <is>
          <t>Marketing &amp; Growth Expenses</t>
        </is>
      </c>
      <c r="C169" s="3" t="n"/>
      <c r="D169" s="3" t="inlineStr">
        <is>
          <t>Giovanna Kamile Andrade Ribeiro - Transferência | Pix</t>
        </is>
      </c>
      <c r="E169" s="3" t="n">
        <v>-22</v>
      </c>
      <c r="F169" s="3" t="inlineStr">
        <is>
          <t>Débito</t>
        </is>
      </c>
      <c r="G169" s="3" t="inlineStr">
        <is>
          <t>Marketing e Publicidade - Sem NF</t>
        </is>
      </c>
      <c r="H169" s="3" t="inlineStr">
        <is>
          <t>2025-09</t>
        </is>
      </c>
      <c r="I169" s="3" t="n"/>
      <c r="J169" s="3" t="n"/>
    </row>
    <row r="170">
      <c r="A170" s="6" t="n">
        <v>45910</v>
      </c>
      <c r="B170" s="3" t="inlineStr">
        <is>
          <t>Marketing &amp; Growth Expenses</t>
        </is>
      </c>
      <c r="C170" s="3" t="n"/>
      <c r="D170" s="3" t="inlineStr">
        <is>
          <t>Girlene Lima Cordeiro - Transferência | Pix</t>
        </is>
      </c>
      <c r="E170" s="3" t="n">
        <v>-128</v>
      </c>
      <c r="F170" s="3" t="inlineStr">
        <is>
          <t>Débito</t>
        </is>
      </c>
      <c r="G170" s="3" t="inlineStr">
        <is>
          <t>Marketing e Publicidade - Sem NF</t>
        </is>
      </c>
      <c r="H170" s="3" t="inlineStr">
        <is>
          <t>2025-09</t>
        </is>
      </c>
      <c r="I170" s="3" t="n"/>
      <c r="J170" s="3" t="n"/>
    </row>
    <row r="171">
      <c r="A171" s="6" t="n">
        <v>45910</v>
      </c>
      <c r="B171" s="3" t="inlineStr">
        <is>
          <t>Marketing &amp; Growth Expenses</t>
        </is>
      </c>
      <c r="C171" s="3" t="n"/>
      <c r="D171" s="3" t="inlineStr">
        <is>
          <t>HEITOR TERUO SHIMAMURA SIMIZU - Transferência | Pix</t>
        </is>
      </c>
      <c r="E171" s="3" t="n">
        <v>-202</v>
      </c>
      <c r="F171" s="3" t="inlineStr">
        <is>
          <t>Débito</t>
        </is>
      </c>
      <c r="G171" s="3" t="inlineStr">
        <is>
          <t>Marketing e Publicidade - Sem NF</t>
        </is>
      </c>
      <c r="H171" s="3" t="inlineStr">
        <is>
          <t>2025-09</t>
        </is>
      </c>
      <c r="I171" s="3" t="n"/>
      <c r="J171" s="3" t="n"/>
    </row>
    <row r="172">
      <c r="A172" s="6" t="n">
        <v>45910</v>
      </c>
      <c r="B172" s="3" t="inlineStr">
        <is>
          <t>Marketing &amp; Growth Expenses</t>
        </is>
      </c>
      <c r="C172" s="3" t="n"/>
      <c r="D172" s="3" t="inlineStr">
        <is>
          <t>Henrique Mendonca Alvarenga - Transferência | Pix</t>
        </is>
      </c>
      <c r="E172" s="3" t="n">
        <v>-94</v>
      </c>
      <c r="F172" s="3" t="inlineStr">
        <is>
          <t>Débito</t>
        </is>
      </c>
      <c r="G172" s="3" t="inlineStr">
        <is>
          <t>Marketing e Publicidade - Sem NF</t>
        </is>
      </c>
      <c r="H172" s="3" t="inlineStr">
        <is>
          <t>2025-09</t>
        </is>
      </c>
      <c r="I172" s="3" t="n"/>
      <c r="J172" s="3" t="n"/>
    </row>
    <row r="173">
      <c r="A173" s="6" t="n">
        <v>45910</v>
      </c>
      <c r="B173" s="3" t="inlineStr">
        <is>
          <t>Marketing &amp; Growth Expenses</t>
        </is>
      </c>
      <c r="C173" s="3" t="n"/>
      <c r="D173" s="3" t="inlineStr">
        <is>
          <t>JOAO PEDRO DE LIRA TAVARES - Transferência | Pix</t>
        </is>
      </c>
      <c r="E173" s="3" t="n">
        <v>-6</v>
      </c>
      <c r="F173" s="3" t="inlineStr">
        <is>
          <t>Débito</t>
        </is>
      </c>
      <c r="G173" s="3" t="inlineStr">
        <is>
          <t>Marketing e Publicidade - Sem NF</t>
        </is>
      </c>
      <c r="H173" s="3" t="inlineStr">
        <is>
          <t>2025-09</t>
        </is>
      </c>
      <c r="I173" s="3" t="n"/>
      <c r="J173" s="3" t="n"/>
    </row>
    <row r="174">
      <c r="A174" s="6" t="n">
        <v>45910</v>
      </c>
      <c r="B174" s="3" t="inlineStr">
        <is>
          <t>Marketing &amp; Growth Expenses</t>
        </is>
      </c>
      <c r="C174" s="3" t="n"/>
      <c r="D174" s="3" t="inlineStr">
        <is>
          <t>Henrique Vitorio Barroso Nascimento - Transferência | Pix</t>
        </is>
      </c>
      <c r="E174" s="3" t="n">
        <v>-74</v>
      </c>
      <c r="F174" s="3" t="inlineStr">
        <is>
          <t>Débito</t>
        </is>
      </c>
      <c r="G174" s="3" t="inlineStr">
        <is>
          <t>Marketing e Publicidade - Sem NF</t>
        </is>
      </c>
      <c r="H174" s="3" t="inlineStr">
        <is>
          <t>2025-09</t>
        </is>
      </c>
      <c r="I174" s="3" t="n"/>
      <c r="J174" s="3" t="n"/>
    </row>
    <row r="175">
      <c r="A175" s="6" t="n">
        <v>45910</v>
      </c>
      <c r="B175" s="3" t="inlineStr">
        <is>
          <t>Marketing &amp; Growth Expenses</t>
        </is>
      </c>
      <c r="C175" s="3" t="n"/>
      <c r="D175" s="3" t="inlineStr">
        <is>
          <t>JOAO VICTOR BOARATI DE OLIVEIRA - Transferência | Pix</t>
        </is>
      </c>
      <c r="E175" s="3" t="n">
        <v>-258</v>
      </c>
      <c r="F175" s="3" t="inlineStr">
        <is>
          <t>Débito</t>
        </is>
      </c>
      <c r="G175" s="3" t="inlineStr">
        <is>
          <t>Marketing e Publicidade - Sem NF</t>
        </is>
      </c>
      <c r="H175" s="3" t="inlineStr">
        <is>
          <t>2025-09</t>
        </is>
      </c>
      <c r="I175" s="3" t="n"/>
      <c r="J175" s="3" t="n"/>
    </row>
    <row r="176">
      <c r="A176" s="6" t="n">
        <v>45910</v>
      </c>
      <c r="B176" s="3" t="inlineStr">
        <is>
          <t>Marketing &amp; Growth Expenses</t>
        </is>
      </c>
      <c r="C176" s="3" t="n"/>
      <c r="D176" s="3" t="inlineStr">
        <is>
          <t>IONE CRISTINA BEZERRA DA SILVA - Transferência | Pix</t>
        </is>
      </c>
      <c r="E176" s="3" t="n">
        <v>-388</v>
      </c>
      <c r="F176" s="3" t="inlineStr">
        <is>
          <t>Débito</t>
        </is>
      </c>
      <c r="G176" s="3" t="inlineStr">
        <is>
          <t>Marketing e Publicidade - Sem NF</t>
        </is>
      </c>
      <c r="H176" s="3" t="inlineStr">
        <is>
          <t>2025-09</t>
        </is>
      </c>
      <c r="I176" s="3" t="n"/>
      <c r="J176" s="3" t="n"/>
    </row>
    <row r="177">
      <c r="A177" s="6" t="n">
        <v>45910</v>
      </c>
      <c r="B177" s="3" t="inlineStr">
        <is>
          <t>Marketing &amp; Growth Expenses</t>
        </is>
      </c>
      <c r="C177" s="3" t="n"/>
      <c r="D177" s="3" t="inlineStr">
        <is>
          <t>JOAO VICTOR CANDIDO VIEIRA - Transferência | Pix</t>
        </is>
      </c>
      <c r="E177" s="3" t="n">
        <v>-36</v>
      </c>
      <c r="F177" s="3" t="inlineStr">
        <is>
          <t>Débito</t>
        </is>
      </c>
      <c r="G177" s="3" t="inlineStr">
        <is>
          <t>Marketing e Publicidade - Sem NF</t>
        </is>
      </c>
      <c r="H177" s="3" t="inlineStr">
        <is>
          <t>2025-09</t>
        </is>
      </c>
      <c r="I177" s="3" t="n"/>
      <c r="J177" s="3" t="n"/>
    </row>
    <row r="178">
      <c r="A178" s="6" t="n">
        <v>45910</v>
      </c>
      <c r="B178" s="3" t="inlineStr">
        <is>
          <t>Marketing &amp; Growth Expenses</t>
        </is>
      </c>
      <c r="C178" s="3" t="n"/>
      <c r="D178" s="3" t="inlineStr">
        <is>
          <t>JORGE LUCAS FRANCO FERREIRA - Transferência | Pix</t>
        </is>
      </c>
      <c r="E178" s="3" t="n">
        <v>-158</v>
      </c>
      <c r="F178" s="3" t="inlineStr">
        <is>
          <t>Débito</t>
        </is>
      </c>
      <c r="G178" s="3" t="inlineStr">
        <is>
          <t>Marketing e Publicidade - Sem NF</t>
        </is>
      </c>
      <c r="H178" s="3" t="inlineStr">
        <is>
          <t>2025-09</t>
        </is>
      </c>
      <c r="I178" s="3" t="n"/>
      <c r="J178" s="3" t="n"/>
    </row>
    <row r="179">
      <c r="A179" s="6" t="n">
        <v>45910</v>
      </c>
      <c r="B179" s="3" t="inlineStr">
        <is>
          <t>Marketing &amp; Growth Expenses</t>
        </is>
      </c>
      <c r="C179" s="3" t="n"/>
      <c r="D179" s="3" t="inlineStr">
        <is>
          <t>JOAO VITOR CANAVESI CARDOSO - Transferência | Pix</t>
        </is>
      </c>
      <c r="E179" s="3" t="n">
        <v>-56</v>
      </c>
      <c r="F179" s="3" t="inlineStr">
        <is>
          <t>Débito</t>
        </is>
      </c>
      <c r="G179" s="3" t="inlineStr">
        <is>
          <t>Marketing e Publicidade - Sem NF</t>
        </is>
      </c>
      <c r="H179" s="3" t="inlineStr">
        <is>
          <t>2025-09</t>
        </is>
      </c>
      <c r="I179" s="3" t="n"/>
      <c r="J179" s="3" t="n"/>
    </row>
    <row r="180">
      <c r="A180" s="6" t="n">
        <v>45910</v>
      </c>
      <c r="B180" s="3" t="inlineStr">
        <is>
          <t>Marketing &amp; Growth Expenses</t>
        </is>
      </c>
      <c r="C180" s="3" t="n"/>
      <c r="D180" s="3" t="inlineStr">
        <is>
          <t>JOYCE KELLY FREITAS MARTINS - Transferência | Pix</t>
        </is>
      </c>
      <c r="E180" s="3" t="n">
        <v>-24</v>
      </c>
      <c r="F180" s="3" t="inlineStr">
        <is>
          <t>Débito</t>
        </is>
      </c>
      <c r="G180" s="3" t="inlineStr">
        <is>
          <t>Marketing e Publicidade - Sem NF</t>
        </is>
      </c>
      <c r="H180" s="3" t="inlineStr">
        <is>
          <t>2025-09</t>
        </is>
      </c>
      <c r="I180" s="3" t="n"/>
      <c r="J180" s="3" t="n"/>
    </row>
    <row r="181">
      <c r="A181" s="6" t="n">
        <v>45910</v>
      </c>
      <c r="B181" s="3" t="inlineStr">
        <is>
          <t>Marketing &amp; Growth Expenses</t>
        </is>
      </c>
      <c r="C181" s="3" t="n"/>
      <c r="D181" s="3" t="inlineStr">
        <is>
          <t>ITATIARA CAETANO CRUZ - Transferência | Pix</t>
        </is>
      </c>
      <c r="E181" s="3" t="n">
        <v>-124</v>
      </c>
      <c r="F181" s="3" t="inlineStr">
        <is>
          <t>Débito</t>
        </is>
      </c>
      <c r="G181" s="3" t="inlineStr">
        <is>
          <t>Marketing e Publicidade - Sem NF</t>
        </is>
      </c>
      <c r="H181" s="3" t="inlineStr">
        <is>
          <t>2025-09</t>
        </is>
      </c>
      <c r="I181" s="3" t="n"/>
      <c r="J181" s="3" t="n"/>
    </row>
    <row r="182">
      <c r="A182" s="6" t="n">
        <v>45910</v>
      </c>
      <c r="B182" s="3" t="inlineStr">
        <is>
          <t>Marketing &amp; Growth Expenses</t>
        </is>
      </c>
      <c r="C182" s="3" t="n"/>
      <c r="D182" s="3" t="inlineStr">
        <is>
          <t>JUAN PAIVA GOMES - Transferência | Pix</t>
        </is>
      </c>
      <c r="E182" s="3" t="n">
        <v>-152</v>
      </c>
      <c r="F182" s="3" t="inlineStr">
        <is>
          <t>Débito</t>
        </is>
      </c>
      <c r="G182" s="3" t="inlineStr">
        <is>
          <t>Marketing e Publicidade - Sem NF</t>
        </is>
      </c>
      <c r="H182" s="3" t="inlineStr">
        <is>
          <t>2025-09</t>
        </is>
      </c>
      <c r="I182" s="3" t="n"/>
      <c r="J182" s="3" t="n"/>
    </row>
    <row r="183">
      <c r="A183" s="6" t="n">
        <v>45910</v>
      </c>
      <c r="B183" s="3" t="inlineStr">
        <is>
          <t>Marketing &amp; Growth Expenses</t>
        </is>
      </c>
      <c r="C183" s="3" t="n"/>
      <c r="D183" s="3" t="inlineStr">
        <is>
          <t>Jaiza Naiara Costa Barbosa - Transferência | Pix</t>
        </is>
      </c>
      <c r="E183" s="3" t="n">
        <v>-142</v>
      </c>
      <c r="F183" s="3" t="inlineStr">
        <is>
          <t>Débito</t>
        </is>
      </c>
      <c r="G183" s="3" t="inlineStr">
        <is>
          <t>Marketing e Publicidade - Sem NF</t>
        </is>
      </c>
      <c r="H183" s="3" t="inlineStr">
        <is>
          <t>2025-09</t>
        </is>
      </c>
      <c r="I183" s="3" t="n"/>
      <c r="J183" s="3" t="n"/>
    </row>
    <row r="184">
      <c r="A184" s="6" t="n">
        <v>45910</v>
      </c>
      <c r="B184" s="3" t="inlineStr">
        <is>
          <t>Marketing &amp; Growth Expenses</t>
        </is>
      </c>
      <c r="C184" s="3" t="n"/>
      <c r="D184" s="3" t="inlineStr">
        <is>
          <t>Jaci Dos Santos Ferreira - Transferência | Pix</t>
        </is>
      </c>
      <c r="E184" s="3" t="n">
        <v>-382</v>
      </c>
      <c r="F184" s="3" t="inlineStr">
        <is>
          <t>Débito</t>
        </is>
      </c>
      <c r="G184" s="3" t="inlineStr">
        <is>
          <t>Marketing e Publicidade - Sem NF</t>
        </is>
      </c>
      <c r="H184" s="3" t="inlineStr">
        <is>
          <t>2025-09</t>
        </is>
      </c>
      <c r="I184" s="3" t="n"/>
      <c r="J184" s="3" t="n"/>
    </row>
    <row r="185">
      <c r="A185" s="6" t="n">
        <v>45910</v>
      </c>
      <c r="B185" s="3" t="inlineStr">
        <is>
          <t>Marketing &amp; Growth Expenses</t>
        </is>
      </c>
      <c r="C185" s="3" t="n"/>
      <c r="D185" s="3" t="inlineStr">
        <is>
          <t>Jean Siqueira Silva - Transferência | Pix</t>
        </is>
      </c>
      <c r="E185" s="3" t="n">
        <v>-42</v>
      </c>
      <c r="F185" s="3" t="inlineStr">
        <is>
          <t>Débito</t>
        </is>
      </c>
      <c r="G185" s="3" t="inlineStr">
        <is>
          <t>Marketing e Publicidade - Sem NF</t>
        </is>
      </c>
      <c r="H185" s="3" t="inlineStr">
        <is>
          <t>2025-09</t>
        </is>
      </c>
      <c r="I185" s="3" t="n"/>
      <c r="J185" s="3" t="n"/>
    </row>
    <row r="186">
      <c r="A186" s="6" t="n">
        <v>45910</v>
      </c>
      <c r="B186" s="3" t="inlineStr">
        <is>
          <t>Marketing &amp; Growth Expenses</t>
        </is>
      </c>
      <c r="C186" s="3" t="n"/>
      <c r="D186" s="3" t="inlineStr">
        <is>
          <t>Jonathan Aparecido de Souza - Transferência | Pix</t>
        </is>
      </c>
      <c r="E186" s="3" t="n">
        <v>-24</v>
      </c>
      <c r="F186" s="3" t="inlineStr">
        <is>
          <t>Débito</t>
        </is>
      </c>
      <c r="G186" s="3" t="inlineStr">
        <is>
          <t>Marketing e Publicidade - Sem NF</t>
        </is>
      </c>
      <c r="H186" s="3" t="inlineStr">
        <is>
          <t>2025-09</t>
        </is>
      </c>
      <c r="I186" s="3" t="n"/>
      <c r="J186" s="3" t="n"/>
    </row>
    <row r="187">
      <c r="A187" s="6" t="n">
        <v>45910</v>
      </c>
      <c r="B187" s="3" t="inlineStr">
        <is>
          <t>Marketing &amp; Growth Expenses</t>
        </is>
      </c>
      <c r="C187" s="3" t="n"/>
      <c r="D187" s="3" t="inlineStr">
        <is>
          <t>Joao Pedro Mattos Pinheiro da Silva - Transferência | Pix</t>
        </is>
      </c>
      <c r="E187" s="3" t="n">
        <v>-380</v>
      </c>
      <c r="F187" s="3" t="inlineStr">
        <is>
          <t>Débito</t>
        </is>
      </c>
      <c r="G187" s="3" t="inlineStr">
        <is>
          <t>Marketing e Publicidade - Sem NF</t>
        </is>
      </c>
      <c r="H187" s="3" t="inlineStr">
        <is>
          <t>2025-09</t>
        </is>
      </c>
      <c r="I187" s="3" t="n"/>
      <c r="J187" s="3" t="n"/>
    </row>
    <row r="188">
      <c r="A188" s="6" t="n">
        <v>45910</v>
      </c>
      <c r="B188" s="3" t="inlineStr">
        <is>
          <t>Marketing &amp; Growth Expenses</t>
        </is>
      </c>
      <c r="C188" s="3" t="n"/>
      <c r="D188" s="3" t="inlineStr">
        <is>
          <t>Jose Luiz Muller Pereira - Transferência | Pix</t>
        </is>
      </c>
      <c r="E188" s="3" t="n">
        <v>-26</v>
      </c>
      <c r="F188" s="3" t="inlineStr">
        <is>
          <t>Débito</t>
        </is>
      </c>
      <c r="G188" s="3" t="inlineStr">
        <is>
          <t>Marketing e Publicidade - Sem NF</t>
        </is>
      </c>
      <c r="H188" s="3" t="inlineStr">
        <is>
          <t>2025-09</t>
        </is>
      </c>
      <c r="I188" s="3" t="n"/>
      <c r="J188" s="3" t="n"/>
    </row>
    <row r="189">
      <c r="A189" s="6" t="n">
        <v>45910</v>
      </c>
      <c r="B189" s="3" t="inlineStr">
        <is>
          <t>Marketing &amp; Growth Expenses</t>
        </is>
      </c>
      <c r="C189" s="3" t="n"/>
      <c r="D189" s="3" t="inlineStr">
        <is>
          <t>Joao Pedro Martins - Transferência | Pix</t>
        </is>
      </c>
      <c r="E189" s="3" t="n">
        <v>-82</v>
      </c>
      <c r="F189" s="3" t="inlineStr">
        <is>
          <t>Débito</t>
        </is>
      </c>
      <c r="G189" s="3" t="inlineStr">
        <is>
          <t>Marketing e Publicidade - Sem NF</t>
        </is>
      </c>
      <c r="H189" s="3" t="inlineStr">
        <is>
          <t>2025-09</t>
        </is>
      </c>
      <c r="I189" s="3" t="n"/>
      <c r="J189" s="3" t="n"/>
    </row>
    <row r="190">
      <c r="A190" s="6" t="n">
        <v>45910</v>
      </c>
      <c r="B190" s="3" t="inlineStr">
        <is>
          <t>Marketing &amp; Growth Expenses</t>
        </is>
      </c>
      <c r="C190" s="3" t="n"/>
      <c r="D190" s="3" t="inlineStr">
        <is>
          <t>Joao Vitor Nascimento de Araujo - Transferência | Pix</t>
        </is>
      </c>
      <c r="E190" s="3" t="n">
        <v>-376</v>
      </c>
      <c r="F190" s="3" t="inlineStr">
        <is>
          <t>Débito</t>
        </is>
      </c>
      <c r="G190" s="3" t="inlineStr">
        <is>
          <t>Marketing e Publicidade - Sem NF</t>
        </is>
      </c>
      <c r="H190" s="3" t="inlineStr">
        <is>
          <t>2025-09</t>
        </is>
      </c>
      <c r="I190" s="3" t="n"/>
      <c r="J190" s="3" t="n"/>
    </row>
    <row r="191">
      <c r="A191" s="6" t="n">
        <v>45910</v>
      </c>
      <c r="B191" s="3" t="inlineStr">
        <is>
          <t>Marketing &amp; Growth Expenses</t>
        </is>
      </c>
      <c r="C191" s="3" t="n"/>
      <c r="D191" s="3" t="inlineStr">
        <is>
          <t>Jullia Dias Bianco dos Santos - Transferência | Pix</t>
        </is>
      </c>
      <c r="E191" s="3" t="n">
        <v>-44</v>
      </c>
      <c r="F191" s="3" t="inlineStr">
        <is>
          <t>Débito</t>
        </is>
      </c>
      <c r="G191" s="3" t="inlineStr">
        <is>
          <t>Marketing e Publicidade - Sem NF</t>
        </is>
      </c>
      <c r="H191" s="3" t="inlineStr">
        <is>
          <t>2025-09</t>
        </is>
      </c>
      <c r="I191" s="3" t="n"/>
      <c r="J191" s="3" t="n"/>
    </row>
    <row r="192">
      <c r="A192" s="6" t="n">
        <v>45910</v>
      </c>
      <c r="B192" s="3" t="inlineStr">
        <is>
          <t>Marketing &amp; Growth Expenses</t>
        </is>
      </c>
      <c r="C192" s="3" t="n"/>
      <c r="D192" s="3" t="inlineStr">
        <is>
          <t>KARLLA CASSIA ALFAIA BATISTA - Transferência | Pix</t>
        </is>
      </c>
      <c r="E192" s="3" t="n">
        <v>-2</v>
      </c>
      <c r="F192" s="3" t="inlineStr">
        <is>
          <t>Débito</t>
        </is>
      </c>
      <c r="G192" s="3" t="inlineStr">
        <is>
          <t>Marketing e Publicidade - Sem NF</t>
        </is>
      </c>
      <c r="H192" s="3" t="inlineStr">
        <is>
          <t>2025-09</t>
        </is>
      </c>
      <c r="I192" s="3" t="n"/>
      <c r="J192" s="3" t="n"/>
    </row>
    <row r="193">
      <c r="A193" s="6" t="n">
        <v>45910</v>
      </c>
      <c r="B193" s="3" t="inlineStr">
        <is>
          <t>Marketing &amp; Growth Expenses</t>
        </is>
      </c>
      <c r="C193" s="3" t="n"/>
      <c r="D193" s="3" t="inlineStr">
        <is>
          <t>KEWYN OWEN DA SILVA BUENO - Transferência | Pix</t>
        </is>
      </c>
      <c r="E193" s="3" t="n">
        <v>-22</v>
      </c>
      <c r="F193" s="3" t="inlineStr">
        <is>
          <t>Débito</t>
        </is>
      </c>
      <c r="G193" s="3" t="inlineStr">
        <is>
          <t>Marketing e Publicidade - Sem NF</t>
        </is>
      </c>
      <c r="H193" s="3" t="inlineStr">
        <is>
          <t>2025-09</t>
        </is>
      </c>
      <c r="I193" s="3" t="n"/>
      <c r="J193" s="3" t="n"/>
    </row>
    <row r="194">
      <c r="A194" s="6" t="n">
        <v>45910</v>
      </c>
      <c r="B194" s="3" t="inlineStr">
        <is>
          <t>Marketing &amp; Growth Expenses</t>
        </is>
      </c>
      <c r="C194" s="3" t="n"/>
      <c r="D194" s="3" t="inlineStr">
        <is>
          <t>Krestian Said - Transferência | Pix</t>
        </is>
      </c>
      <c r="E194" s="3" t="n">
        <v>-94</v>
      </c>
      <c r="F194" s="3" t="inlineStr">
        <is>
          <t>Débito</t>
        </is>
      </c>
      <c r="G194" s="3" t="inlineStr">
        <is>
          <t>Marketing e Publicidade - Sem NF</t>
        </is>
      </c>
      <c r="H194" s="3" t="inlineStr">
        <is>
          <t>2025-09</t>
        </is>
      </c>
      <c r="I194" s="3" t="n"/>
      <c r="J194" s="3" t="n"/>
    </row>
    <row r="195">
      <c r="A195" s="6" t="n">
        <v>45910</v>
      </c>
      <c r="B195" s="3" t="inlineStr">
        <is>
          <t>Marketing &amp; Growth Expenses</t>
        </is>
      </c>
      <c r="C195" s="3" t="n"/>
      <c r="D195" s="3" t="inlineStr">
        <is>
          <t>LETICIA SCARDUELLI ASSELLI - Transferência | Pix</t>
        </is>
      </c>
      <c r="E195" s="3" t="n">
        <v>-32</v>
      </c>
      <c r="F195" s="3" t="inlineStr">
        <is>
          <t>Débito</t>
        </is>
      </c>
      <c r="G195" s="3" t="inlineStr">
        <is>
          <t>Marketing e Publicidade - Sem NF</t>
        </is>
      </c>
      <c r="H195" s="3" t="inlineStr">
        <is>
          <t>2025-09</t>
        </is>
      </c>
      <c r="I195" s="3" t="n"/>
      <c r="J195" s="3" t="n"/>
    </row>
    <row r="196">
      <c r="A196" s="6" t="n">
        <v>45910</v>
      </c>
      <c r="B196" s="3" t="inlineStr">
        <is>
          <t>Marketing &amp; Growth Expenses</t>
        </is>
      </c>
      <c r="C196" s="3" t="n"/>
      <c r="D196" s="3" t="inlineStr">
        <is>
          <t>LUAN SPINETTI DE SOUZA - Transferência | Pix</t>
        </is>
      </c>
      <c r="E196" s="3" t="n">
        <v>-8</v>
      </c>
      <c r="F196" s="3" t="inlineStr">
        <is>
          <t>Débito</t>
        </is>
      </c>
      <c r="G196" s="3" t="inlineStr">
        <is>
          <t>Marketing e Publicidade - Sem NF</t>
        </is>
      </c>
      <c r="H196" s="3" t="inlineStr">
        <is>
          <t>2025-09</t>
        </is>
      </c>
      <c r="I196" s="3" t="n"/>
      <c r="J196" s="3" t="n"/>
    </row>
    <row r="197">
      <c r="A197" s="6" t="n">
        <v>45910</v>
      </c>
      <c r="B197" s="3" t="inlineStr">
        <is>
          <t>Marketing &amp; Growth Expenses</t>
        </is>
      </c>
      <c r="C197" s="3" t="n"/>
      <c r="D197" s="3" t="inlineStr">
        <is>
          <t>LARA RODRIGUES DOS SANTOS - Transferência | Pix</t>
        </is>
      </c>
      <c r="E197" s="3" t="n">
        <v>-158</v>
      </c>
      <c r="F197" s="3" t="inlineStr">
        <is>
          <t>Débito</t>
        </is>
      </c>
      <c r="G197" s="3" t="inlineStr">
        <is>
          <t>Marketing e Publicidade - Sem NF</t>
        </is>
      </c>
      <c r="H197" s="3" t="inlineStr">
        <is>
          <t>2025-09</t>
        </is>
      </c>
      <c r="I197" s="3" t="n"/>
      <c r="J197" s="3" t="n"/>
    </row>
    <row r="198">
      <c r="A198" s="6" t="n">
        <v>45910</v>
      </c>
      <c r="B198" s="3" t="inlineStr">
        <is>
          <t>Marketing &amp; Growth Expenses</t>
        </is>
      </c>
      <c r="C198" s="3" t="n"/>
      <c r="D198" s="3" t="inlineStr">
        <is>
          <t>LARISSA DA SILVA BARBOZA - Transferência | Pix</t>
        </is>
      </c>
      <c r="E198" s="3" t="n">
        <v>-206</v>
      </c>
      <c r="F198" s="3" t="inlineStr">
        <is>
          <t>Débito</t>
        </is>
      </c>
      <c r="G198" s="3" t="inlineStr">
        <is>
          <t>Marketing e Publicidade - Sem NF</t>
        </is>
      </c>
      <c r="H198" s="3" t="inlineStr">
        <is>
          <t>2025-09</t>
        </is>
      </c>
      <c r="I198" s="3" t="n"/>
      <c r="J198" s="3" t="n"/>
    </row>
    <row r="199">
      <c r="A199" s="6" t="n">
        <v>45910</v>
      </c>
      <c r="B199" s="3" t="inlineStr">
        <is>
          <t>Marketing &amp; Growth Expenses</t>
        </is>
      </c>
      <c r="C199" s="3" t="n"/>
      <c r="D199" s="3" t="inlineStr">
        <is>
          <t>Lucas Lisboa Ramos Serafin - Transferência | Pix</t>
        </is>
      </c>
      <c r="E199" s="3" t="n">
        <v>-64</v>
      </c>
      <c r="F199" s="3" t="inlineStr">
        <is>
          <t>Débito</t>
        </is>
      </c>
      <c r="G199" s="3" t="inlineStr">
        <is>
          <t>Marketing e Publicidade - Sem NF</t>
        </is>
      </c>
      <c r="H199" s="3" t="inlineStr">
        <is>
          <t>2025-09</t>
        </is>
      </c>
      <c r="I199" s="3" t="n"/>
      <c r="J199" s="3" t="n"/>
    </row>
    <row r="200">
      <c r="A200" s="6" t="n">
        <v>45910</v>
      </c>
      <c r="B200" s="3" t="inlineStr">
        <is>
          <t>Marketing &amp; Growth Expenses</t>
        </is>
      </c>
      <c r="C200" s="3" t="n"/>
      <c r="D200" s="3" t="inlineStr">
        <is>
          <t>Lucas Rafhael Germanos Paiva - Transferência | Pix</t>
        </is>
      </c>
      <c r="E200" s="3" t="n">
        <v>-154</v>
      </c>
      <c r="F200" s="3" t="inlineStr">
        <is>
          <t>Débito</t>
        </is>
      </c>
      <c r="G200" s="3" t="inlineStr">
        <is>
          <t>Marketing e Publicidade - Sem NF</t>
        </is>
      </c>
      <c r="H200" s="3" t="inlineStr">
        <is>
          <t>2025-09</t>
        </is>
      </c>
      <c r="I200" s="3" t="n"/>
      <c r="J200" s="3" t="n"/>
    </row>
    <row r="201">
      <c r="A201" s="6" t="n">
        <v>45910</v>
      </c>
      <c r="B201" s="3" t="inlineStr">
        <is>
          <t>Marketing &amp; Growth Expenses</t>
        </is>
      </c>
      <c r="C201" s="3" t="n"/>
      <c r="D201" s="3" t="inlineStr">
        <is>
          <t>LUANA DE SOUZA CARMO - Transferência | Pix</t>
        </is>
      </c>
      <c r="E201" s="3" t="n">
        <v>-376</v>
      </c>
      <c r="F201" s="3" t="inlineStr">
        <is>
          <t>Débito</t>
        </is>
      </c>
      <c r="G201" s="3" t="inlineStr">
        <is>
          <t>Marketing e Publicidade - Sem NF</t>
        </is>
      </c>
      <c r="H201" s="3" t="inlineStr">
        <is>
          <t>2025-09</t>
        </is>
      </c>
      <c r="I201" s="3" t="n"/>
      <c r="J201" s="3" t="n"/>
    </row>
    <row r="202">
      <c r="A202" s="6" t="n">
        <v>45910</v>
      </c>
      <c r="B202" s="3" t="inlineStr">
        <is>
          <t>Marketing &amp; Growth Expenses</t>
        </is>
      </c>
      <c r="C202" s="3" t="n"/>
      <c r="D202" s="3" t="inlineStr">
        <is>
          <t>Luiz Fernando Barbosa Alves - Transferência | Pix</t>
        </is>
      </c>
      <c r="E202" s="3" t="n">
        <v>-130</v>
      </c>
      <c r="F202" s="3" t="inlineStr">
        <is>
          <t>Débito</t>
        </is>
      </c>
      <c r="G202" s="3" t="inlineStr">
        <is>
          <t>Marketing e Publicidade - Sem NF</t>
        </is>
      </c>
      <c r="H202" s="3" t="inlineStr">
        <is>
          <t>2025-09</t>
        </is>
      </c>
      <c r="I202" s="3" t="n"/>
      <c r="J202" s="3" t="n"/>
    </row>
    <row r="203">
      <c r="A203" s="6" t="n">
        <v>45910</v>
      </c>
      <c r="B203" s="3" t="inlineStr">
        <is>
          <t>Marketing &amp; Growth Expenses</t>
        </is>
      </c>
      <c r="C203" s="3" t="n"/>
      <c r="D203" s="3" t="inlineStr">
        <is>
          <t>LUIS FELIPE DA SILVA DO NASCIMENTO - Transferência | Pix</t>
        </is>
      </c>
      <c r="E203" s="3" t="n">
        <v>-2</v>
      </c>
      <c r="F203" s="3" t="inlineStr">
        <is>
          <t>Débito</t>
        </is>
      </c>
      <c r="G203" s="3" t="inlineStr">
        <is>
          <t>Marketing e Publicidade - Sem NF</t>
        </is>
      </c>
      <c r="H203" s="3" t="inlineStr">
        <is>
          <t>2025-09</t>
        </is>
      </c>
      <c r="I203" s="3" t="n"/>
      <c r="J203" s="3" t="n"/>
    </row>
    <row r="204">
      <c r="A204" s="6" t="n">
        <v>45910</v>
      </c>
      <c r="B204" s="3" t="inlineStr">
        <is>
          <t>Marketing &amp; Growth Expenses</t>
        </is>
      </c>
      <c r="C204" s="3" t="n"/>
      <c r="D204" s="3" t="inlineStr">
        <is>
          <t>Louize Vithoria Mota do Nascimento - Transferência | Pix</t>
        </is>
      </c>
      <c r="E204" s="3" t="n">
        <v>-20</v>
      </c>
      <c r="F204" s="3" t="inlineStr">
        <is>
          <t>Débito</t>
        </is>
      </c>
      <c r="G204" s="3" t="inlineStr">
        <is>
          <t>Marketing e Publicidade - Sem NF</t>
        </is>
      </c>
      <c r="H204" s="3" t="inlineStr">
        <is>
          <t>2025-09</t>
        </is>
      </c>
      <c r="I204" s="3" t="n"/>
      <c r="J204" s="3" t="n"/>
    </row>
    <row r="205">
      <c r="A205" s="6" t="n">
        <v>45910</v>
      </c>
      <c r="B205" s="3" t="inlineStr">
        <is>
          <t>Marketing &amp; Growth Expenses</t>
        </is>
      </c>
      <c r="C205" s="3" t="n"/>
      <c r="D205" s="3" t="inlineStr">
        <is>
          <t>MARCIA LIMA DOS SANTOS - Transferência | Pix</t>
        </is>
      </c>
      <c r="E205" s="3" t="n">
        <v>-16</v>
      </c>
      <c r="F205" s="3" t="inlineStr">
        <is>
          <t>Débito</t>
        </is>
      </c>
      <c r="G205" s="3" t="inlineStr">
        <is>
          <t>Marketing e Publicidade - Sem NF</t>
        </is>
      </c>
      <c r="H205" s="3" t="inlineStr">
        <is>
          <t>2025-09</t>
        </is>
      </c>
      <c r="I205" s="3" t="n"/>
      <c r="J205" s="3" t="n"/>
    </row>
    <row r="206">
      <c r="A206" s="6" t="n">
        <v>45910</v>
      </c>
      <c r="B206" s="3" t="inlineStr">
        <is>
          <t>Marketing &amp; Growth Expenses</t>
        </is>
      </c>
      <c r="C206" s="3" t="n"/>
      <c r="D206" s="3" t="inlineStr">
        <is>
          <t>MARIA EDUARDA OLEGARIO DE ALMEIDA MORO - Transferência | Pix</t>
        </is>
      </c>
      <c r="E206" s="3" t="n">
        <v>-4</v>
      </c>
      <c r="F206" s="3" t="inlineStr">
        <is>
          <t>Débito</t>
        </is>
      </c>
      <c r="G206" s="3" t="inlineStr">
        <is>
          <t>Marketing e Publicidade - Sem NF</t>
        </is>
      </c>
      <c r="H206" s="3" t="inlineStr">
        <is>
          <t>2025-09</t>
        </is>
      </c>
      <c r="I206" s="3" t="n"/>
      <c r="J206" s="3" t="n"/>
    </row>
    <row r="207">
      <c r="A207" s="6" t="n">
        <v>45910</v>
      </c>
      <c r="B207" s="3" t="inlineStr">
        <is>
          <t>Marketing &amp; Growth Expenses</t>
        </is>
      </c>
      <c r="C207" s="3" t="n"/>
      <c r="D207" s="3" t="inlineStr">
        <is>
          <t>MARIA GABRIELA SANTOS PINTO - Transferência | Pix</t>
        </is>
      </c>
      <c r="E207" s="3" t="n">
        <v>-32</v>
      </c>
      <c r="F207" s="3" t="inlineStr">
        <is>
          <t>Débito</t>
        </is>
      </c>
      <c r="G207" s="3" t="inlineStr">
        <is>
          <t>Marketing e Publicidade - Sem NF</t>
        </is>
      </c>
      <c r="H207" s="3" t="inlineStr">
        <is>
          <t>2025-09</t>
        </is>
      </c>
      <c r="I207" s="3" t="n"/>
      <c r="J207" s="3" t="n"/>
    </row>
    <row r="208">
      <c r="A208" s="6" t="n">
        <v>45910</v>
      </c>
      <c r="B208" s="3" t="inlineStr">
        <is>
          <t>Marketing &amp; Growth Expenses</t>
        </is>
      </c>
      <c r="C208" s="3" t="n"/>
      <c r="D208" s="3" t="inlineStr">
        <is>
          <t>MARIA HELENA ALVES SANTOS - Transferência | Pix</t>
        </is>
      </c>
      <c r="E208" s="3" t="n">
        <v>-388</v>
      </c>
      <c r="F208" s="3" t="inlineStr">
        <is>
          <t>Débito</t>
        </is>
      </c>
      <c r="G208" s="3" t="inlineStr">
        <is>
          <t>Marketing e Publicidade - Sem NF</t>
        </is>
      </c>
      <c r="H208" s="3" t="inlineStr">
        <is>
          <t>2025-09</t>
        </is>
      </c>
      <c r="I208" s="3" t="n"/>
      <c r="J208" s="3" t="n"/>
    </row>
    <row r="209">
      <c r="A209" s="6" t="n">
        <v>45910</v>
      </c>
      <c r="B209" s="3" t="inlineStr">
        <is>
          <t>Marketing &amp; Growth Expenses</t>
        </is>
      </c>
      <c r="C209" s="3" t="n"/>
      <c r="D209" s="3" t="inlineStr">
        <is>
          <t>MARIA LUIZA FURLANETTO - Transferência | Pix</t>
        </is>
      </c>
      <c r="E209" s="3" t="n">
        <v>-20</v>
      </c>
      <c r="F209" s="3" t="inlineStr">
        <is>
          <t>Débito</t>
        </is>
      </c>
      <c r="G209" s="3" t="inlineStr">
        <is>
          <t>Marketing e Publicidade - Sem NF</t>
        </is>
      </c>
      <c r="H209" s="3" t="inlineStr">
        <is>
          <t>2025-09</t>
        </is>
      </c>
      <c r="I209" s="3" t="n"/>
      <c r="J209" s="3" t="n"/>
    </row>
    <row r="210">
      <c r="A210" s="6" t="n">
        <v>45910</v>
      </c>
      <c r="B210" s="3" t="inlineStr">
        <is>
          <t>Marketing &amp; Growth Expenses</t>
        </is>
      </c>
      <c r="C210" s="3" t="n"/>
      <c r="D210" s="3" t="inlineStr">
        <is>
          <t>MARIANA BENTO SILVA - Transferência | Pix</t>
        </is>
      </c>
      <c r="E210" s="3" t="n">
        <v>-60</v>
      </c>
      <c r="F210" s="3" t="inlineStr">
        <is>
          <t>Débito</t>
        </is>
      </c>
      <c r="G210" s="3" t="inlineStr">
        <is>
          <t>Marketing e Publicidade - Sem NF</t>
        </is>
      </c>
      <c r="H210" s="3" t="inlineStr">
        <is>
          <t>2025-09</t>
        </is>
      </c>
      <c r="I210" s="3" t="n"/>
      <c r="J210" s="3" t="n"/>
    </row>
    <row r="211">
      <c r="A211" s="6" t="n">
        <v>45910</v>
      </c>
      <c r="B211" s="3" t="inlineStr">
        <is>
          <t>Marketing &amp; Growth Expenses</t>
        </is>
      </c>
      <c r="C211" s="3" t="n"/>
      <c r="D211" s="3" t="inlineStr">
        <is>
          <t>MARYA EDUARDA ALVES BARCELOS - Transferência | Pix</t>
        </is>
      </c>
      <c r="E211" s="3" t="n">
        <v>-32</v>
      </c>
      <c r="F211" s="3" t="inlineStr">
        <is>
          <t>Débito</t>
        </is>
      </c>
      <c r="G211" s="3" t="inlineStr">
        <is>
          <t>Marketing e Publicidade - Sem NF</t>
        </is>
      </c>
      <c r="H211" s="3" t="inlineStr">
        <is>
          <t>2025-09</t>
        </is>
      </c>
      <c r="I211" s="3" t="n"/>
      <c r="J211" s="3" t="n"/>
    </row>
    <row r="212">
      <c r="A212" s="6" t="n">
        <v>45910</v>
      </c>
      <c r="B212" s="3" t="inlineStr">
        <is>
          <t>Marketing &amp; Growth Expenses</t>
        </is>
      </c>
      <c r="C212" s="3" t="n"/>
      <c r="D212" s="3" t="inlineStr">
        <is>
          <t>Manuela De Fatima Caparra Lopes - Transferência | Pix</t>
        </is>
      </c>
      <c r="E212" s="3" t="n">
        <v>-66</v>
      </c>
      <c r="F212" s="3" t="inlineStr">
        <is>
          <t>Débito</t>
        </is>
      </c>
      <c r="G212" s="3" t="inlineStr">
        <is>
          <t>Marketing e Publicidade - Sem NF</t>
        </is>
      </c>
      <c r="H212" s="3" t="inlineStr">
        <is>
          <t>2025-09</t>
        </is>
      </c>
      <c r="I212" s="3" t="n"/>
      <c r="J212" s="3" t="n"/>
    </row>
    <row r="213">
      <c r="A213" s="6" t="n">
        <v>45910</v>
      </c>
      <c r="B213" s="3" t="inlineStr">
        <is>
          <t>Marketing &amp; Growth Expenses</t>
        </is>
      </c>
      <c r="C213" s="3" t="n"/>
      <c r="D213" s="3" t="inlineStr">
        <is>
          <t>Maria Eduarda Barbosa Lima - Transferência | Pix</t>
        </is>
      </c>
      <c r="E213" s="3" t="n">
        <v>-384</v>
      </c>
      <c r="F213" s="3" t="inlineStr">
        <is>
          <t>Débito</t>
        </is>
      </c>
      <c r="G213" s="3" t="inlineStr">
        <is>
          <t>Marketing e Publicidade - Sem NF</t>
        </is>
      </c>
      <c r="H213" s="3" t="inlineStr">
        <is>
          <t>2025-09</t>
        </is>
      </c>
      <c r="I213" s="3" t="n"/>
      <c r="J213" s="3" t="n"/>
    </row>
    <row r="214">
      <c r="A214" s="6" t="n">
        <v>45910</v>
      </c>
      <c r="B214" s="3" t="inlineStr">
        <is>
          <t>Marketing &amp; Growth Expenses</t>
        </is>
      </c>
      <c r="C214" s="3" t="n"/>
      <c r="D214" s="3" t="inlineStr">
        <is>
          <t>Maria Eduarda Mineto Cangiani - Transferência | Pix</t>
        </is>
      </c>
      <c r="E214" s="3" t="n">
        <v>-240</v>
      </c>
      <c r="F214" s="3" t="inlineStr">
        <is>
          <t>Débito</t>
        </is>
      </c>
      <c r="G214" s="3" t="inlineStr">
        <is>
          <t>Marketing e Publicidade - Sem NF</t>
        </is>
      </c>
      <c r="H214" s="3" t="inlineStr">
        <is>
          <t>2025-09</t>
        </is>
      </c>
      <c r="I214" s="3" t="n"/>
      <c r="J214" s="3" t="n"/>
    </row>
    <row r="215">
      <c r="A215" s="6" t="n">
        <v>45910</v>
      </c>
      <c r="B215" s="3" t="inlineStr">
        <is>
          <t>Marketing &amp; Growth Expenses</t>
        </is>
      </c>
      <c r="C215" s="3" t="n"/>
      <c r="D215" s="3" t="inlineStr">
        <is>
          <t>Mateus Das Merces Santos - Transferência | Pix</t>
        </is>
      </c>
      <c r="E215" s="3" t="n">
        <v>-176</v>
      </c>
      <c r="F215" s="3" t="inlineStr">
        <is>
          <t>Débito</t>
        </is>
      </c>
      <c r="G215" s="3" t="inlineStr">
        <is>
          <t>Marketing e Publicidade - Sem NF</t>
        </is>
      </c>
      <c r="H215" s="3" t="inlineStr">
        <is>
          <t>2025-09</t>
        </is>
      </c>
      <c r="I215" s="3" t="n"/>
      <c r="J215" s="3" t="n"/>
    </row>
    <row r="216">
      <c r="A216" s="6" t="n">
        <v>45910</v>
      </c>
      <c r="B216" s="3" t="inlineStr">
        <is>
          <t>Marketing &amp; Growth Expenses</t>
        </is>
      </c>
      <c r="C216" s="3" t="n"/>
      <c r="D216" s="3" t="inlineStr">
        <is>
          <t>Matheus Martins de Carvalho - Transferência | Pix</t>
        </is>
      </c>
      <c r="E216" s="3" t="n">
        <v>-378</v>
      </c>
      <c r="F216" s="3" t="inlineStr">
        <is>
          <t>Débito</t>
        </is>
      </c>
      <c r="G216" s="3" t="inlineStr">
        <is>
          <t>Marketing e Publicidade - Sem NF</t>
        </is>
      </c>
      <c r="H216" s="3" t="inlineStr">
        <is>
          <t>2025-09</t>
        </is>
      </c>
      <c r="I216" s="3" t="n"/>
      <c r="J216" s="3" t="n"/>
    </row>
    <row r="217">
      <c r="A217" s="6" t="n">
        <v>45910</v>
      </c>
      <c r="B217" s="3" t="inlineStr">
        <is>
          <t>Marketing &amp; Growth Expenses</t>
        </is>
      </c>
      <c r="C217" s="3" t="n"/>
      <c r="D217" s="3" t="inlineStr">
        <is>
          <t>Matthaues Krummenauer Vieira Pahim - Transferência | Pix</t>
        </is>
      </c>
      <c r="E217" s="3" t="n">
        <v>-58</v>
      </c>
      <c r="F217" s="3" t="inlineStr">
        <is>
          <t>Débito</t>
        </is>
      </c>
      <c r="G217" s="3" t="inlineStr">
        <is>
          <t>Marketing e Publicidade - Sem NF</t>
        </is>
      </c>
      <c r="H217" s="3" t="inlineStr">
        <is>
          <t>2025-09</t>
        </is>
      </c>
      <c r="I217" s="3" t="n"/>
      <c r="J217" s="3" t="n"/>
    </row>
    <row r="218">
      <c r="A218" s="6" t="n">
        <v>45910</v>
      </c>
      <c r="B218" s="3" t="inlineStr">
        <is>
          <t>Marketing &amp; Growth Expenses</t>
        </is>
      </c>
      <c r="C218" s="3" t="n"/>
      <c r="D218" s="3" t="inlineStr">
        <is>
          <t>Michelle Busata De Souza - Transferência | Pix</t>
        </is>
      </c>
      <c r="E218" s="3" t="n">
        <v>-32</v>
      </c>
      <c r="F218" s="3" t="inlineStr">
        <is>
          <t>Débito</t>
        </is>
      </c>
      <c r="G218" s="3" t="inlineStr">
        <is>
          <t>Marketing e Publicidade - Sem NF</t>
        </is>
      </c>
      <c r="H218" s="3" t="inlineStr">
        <is>
          <t>2025-09</t>
        </is>
      </c>
      <c r="I218" s="3" t="n"/>
      <c r="J218" s="3" t="n"/>
    </row>
    <row r="219">
      <c r="A219" s="6" t="n">
        <v>45910</v>
      </c>
      <c r="B219" s="3" t="inlineStr">
        <is>
          <t>Marketing &amp; Growth Expenses</t>
        </is>
      </c>
      <c r="C219" s="3" t="n"/>
      <c r="D219" s="3" t="inlineStr">
        <is>
          <t>Milena Aparecida Kammer - Transferência | Pix</t>
        </is>
      </c>
      <c r="E219" s="3" t="n">
        <v>-66</v>
      </c>
      <c r="F219" s="3" t="inlineStr">
        <is>
          <t>Débito</t>
        </is>
      </c>
      <c r="G219" s="3" t="inlineStr">
        <is>
          <t>Marketing e Publicidade - Sem NF</t>
        </is>
      </c>
      <c r="H219" s="3" t="inlineStr">
        <is>
          <t>2025-09</t>
        </is>
      </c>
      <c r="I219" s="3" t="n"/>
      <c r="J219" s="3" t="n"/>
    </row>
    <row r="220">
      <c r="A220" s="6" t="n">
        <v>45910</v>
      </c>
      <c r="B220" s="3" t="inlineStr">
        <is>
          <t>Marketing &amp; Growth Expenses</t>
        </is>
      </c>
      <c r="C220" s="3" t="n"/>
      <c r="D220" s="3" t="inlineStr">
        <is>
          <t>Milena Maia da Silva - Transferência | Pix</t>
        </is>
      </c>
      <c r="E220" s="3" t="n">
        <v>-2</v>
      </c>
      <c r="F220" s="3" t="inlineStr">
        <is>
          <t>Débito</t>
        </is>
      </c>
      <c r="G220" s="3" t="inlineStr">
        <is>
          <t>Marketing e Publicidade - Sem NF</t>
        </is>
      </c>
      <c r="H220" s="3" t="inlineStr">
        <is>
          <t>2025-09</t>
        </is>
      </c>
      <c r="I220" s="3" t="n"/>
      <c r="J220" s="3" t="n"/>
    </row>
    <row r="221">
      <c r="A221" s="6" t="n">
        <v>45910</v>
      </c>
      <c r="B221" s="3" t="inlineStr">
        <is>
          <t>Marketing &amp; Growth Expenses</t>
        </is>
      </c>
      <c r="C221" s="3" t="n"/>
      <c r="D221" s="3" t="inlineStr">
        <is>
          <t>POLYANA KEIKO TANAKA CARDOSO - Transferência | Pix</t>
        </is>
      </c>
      <c r="E221" s="3" t="n">
        <v>-2</v>
      </c>
      <c r="F221" s="3" t="inlineStr">
        <is>
          <t>Débito</t>
        </is>
      </c>
      <c r="G221" s="3" t="inlineStr">
        <is>
          <t>Marketing e Publicidade - Sem NF</t>
        </is>
      </c>
      <c r="H221" s="3" t="inlineStr">
        <is>
          <t>2025-09</t>
        </is>
      </c>
      <c r="I221" s="3" t="n"/>
      <c r="J221" s="3" t="n"/>
    </row>
    <row r="222">
      <c r="A222" s="6" t="n">
        <v>45910</v>
      </c>
      <c r="B222" s="3" t="inlineStr">
        <is>
          <t>Marketing &amp; Growth Expenses</t>
        </is>
      </c>
      <c r="C222" s="3" t="n"/>
      <c r="D222" s="3" t="inlineStr">
        <is>
          <t>Paola Dafny da Silva Furriel - Transferência | Pix</t>
        </is>
      </c>
      <c r="E222" s="3" t="n">
        <v>-4</v>
      </c>
      <c r="F222" s="3" t="inlineStr">
        <is>
          <t>Débito</t>
        </is>
      </c>
      <c r="G222" s="3" t="inlineStr">
        <is>
          <t>Marketing e Publicidade - Sem NF</t>
        </is>
      </c>
      <c r="H222" s="3" t="inlineStr">
        <is>
          <t>2025-09</t>
        </is>
      </c>
      <c r="I222" s="3" t="n"/>
      <c r="J222" s="3" t="n"/>
    </row>
    <row r="223">
      <c r="A223" s="6" t="n">
        <v>45910</v>
      </c>
      <c r="B223" s="3" t="inlineStr">
        <is>
          <t>Marketing &amp; Growth Expenses</t>
        </is>
      </c>
      <c r="C223" s="3" t="n"/>
      <c r="D223" s="3" t="inlineStr">
        <is>
          <t>Natalia Pereira Ramos - Transferência | Pix</t>
        </is>
      </c>
      <c r="E223" s="3" t="n">
        <v>-56</v>
      </c>
      <c r="F223" s="3" t="inlineStr">
        <is>
          <t>Débito</t>
        </is>
      </c>
      <c r="G223" s="3" t="inlineStr">
        <is>
          <t>Marketing e Publicidade - Sem NF</t>
        </is>
      </c>
      <c r="H223" s="3" t="inlineStr">
        <is>
          <t>2025-09</t>
        </is>
      </c>
      <c r="I223" s="3" t="n"/>
      <c r="J223" s="3" t="n"/>
    </row>
    <row r="224">
      <c r="A224" s="6" t="n">
        <v>45910</v>
      </c>
      <c r="B224" s="3" t="inlineStr">
        <is>
          <t>Marketing &amp; Growth Expenses</t>
        </is>
      </c>
      <c r="C224" s="3" t="n"/>
      <c r="D224" s="3" t="inlineStr">
        <is>
          <t>Paulo Henrique Ferreira Silva - Transferência | Pix</t>
        </is>
      </c>
      <c r="E224" s="3" t="n">
        <v>-8</v>
      </c>
      <c r="F224" s="3" t="inlineStr">
        <is>
          <t>Débito</t>
        </is>
      </c>
      <c r="G224" s="3" t="inlineStr">
        <is>
          <t>Marketing e Publicidade - Sem NF</t>
        </is>
      </c>
      <c r="H224" s="3" t="inlineStr">
        <is>
          <t>2025-09</t>
        </is>
      </c>
      <c r="I224" s="3" t="n"/>
      <c r="J224" s="3" t="n"/>
    </row>
    <row r="225">
      <c r="A225" s="6" t="n">
        <v>45910</v>
      </c>
      <c r="B225" s="3" t="inlineStr">
        <is>
          <t>Marketing &amp; Growth Expenses</t>
        </is>
      </c>
      <c r="C225" s="3" t="n"/>
      <c r="D225" s="3" t="inlineStr">
        <is>
          <t>RAFAEL SOUZA DE PINHO - Transferência | Pix</t>
        </is>
      </c>
      <c r="E225" s="3" t="n">
        <v>-48</v>
      </c>
      <c r="F225" s="3" t="inlineStr">
        <is>
          <t>Débito</t>
        </is>
      </c>
      <c r="G225" s="3" t="inlineStr">
        <is>
          <t>Marketing e Publicidade - Sem NF</t>
        </is>
      </c>
      <c r="H225" s="3" t="inlineStr">
        <is>
          <t>2025-09</t>
        </is>
      </c>
      <c r="I225" s="3" t="n"/>
      <c r="J225" s="3" t="n"/>
    </row>
    <row r="226">
      <c r="A226" s="6" t="n">
        <v>45910</v>
      </c>
      <c r="B226" s="3" t="inlineStr">
        <is>
          <t>Marketing &amp; Growth Expenses</t>
        </is>
      </c>
      <c r="C226" s="3" t="n"/>
      <c r="D226" s="3" t="inlineStr">
        <is>
          <t>ZANDER MATIAS FERNANDES - Transferência | Pix</t>
        </is>
      </c>
      <c r="E226" s="3" t="n">
        <v>-388</v>
      </c>
      <c r="F226" s="3" t="inlineStr">
        <is>
          <t>Débito</t>
        </is>
      </c>
      <c r="G226" s="3" t="inlineStr">
        <is>
          <t>Marketing e Publicidade - Sem NF</t>
        </is>
      </c>
      <c r="H226" s="3" t="inlineStr">
        <is>
          <t>2025-09</t>
        </is>
      </c>
      <c r="I226" s="3" t="n"/>
      <c r="J226" s="3" t="n"/>
    </row>
    <row r="227">
      <c r="A227" s="6" t="n">
        <v>45910</v>
      </c>
      <c r="B227" s="3" t="inlineStr">
        <is>
          <t>Marketing &amp; Growth Expenses</t>
        </is>
      </c>
      <c r="C227" s="3" t="n"/>
      <c r="D227" s="3" t="inlineStr">
        <is>
          <t>Tiago Macedo Lima - Transferência | Pix</t>
        </is>
      </c>
      <c r="E227" s="3" t="n">
        <v>-380</v>
      </c>
      <c r="F227" s="3" t="inlineStr">
        <is>
          <t>Débito</t>
        </is>
      </c>
      <c r="G227" s="3" t="inlineStr">
        <is>
          <t>Marketing e Publicidade - Sem NF</t>
        </is>
      </c>
      <c r="H227" s="3" t="inlineStr">
        <is>
          <t>2025-09</t>
        </is>
      </c>
      <c r="I227" s="3" t="n"/>
      <c r="J227" s="3" t="n"/>
    </row>
    <row r="228">
      <c r="A228" s="6" t="n">
        <v>45910</v>
      </c>
      <c r="B228" s="3" t="inlineStr">
        <is>
          <t>Marketing &amp; Growth Expenses</t>
        </is>
      </c>
      <c r="C228" s="3" t="n"/>
      <c r="D228" s="3" t="inlineStr">
        <is>
          <t>Patrick Domingos Lopes da Silva - Transferência | Pix</t>
        </is>
      </c>
      <c r="E228" s="3" t="n">
        <v>-10</v>
      </c>
      <c r="F228" s="3" t="inlineStr">
        <is>
          <t>Débito</t>
        </is>
      </c>
      <c r="G228" s="3" t="inlineStr">
        <is>
          <t>Marketing e Publicidade - Sem NF</t>
        </is>
      </c>
      <c r="H228" s="3" t="inlineStr">
        <is>
          <t>2025-09</t>
        </is>
      </c>
      <c r="I228" s="3" t="n"/>
      <c r="J228" s="3" t="n"/>
    </row>
    <row r="229">
      <c r="A229" s="6" t="n">
        <v>45910</v>
      </c>
      <c r="B229" s="3" t="inlineStr">
        <is>
          <t>Marketing &amp; Growth Expenses</t>
        </is>
      </c>
      <c r="C229" s="3" t="n"/>
      <c r="D229" s="3" t="inlineStr">
        <is>
          <t>RAMON PAIVA FONTINELE DA SILVA - Transferência | Pix</t>
        </is>
      </c>
      <c r="E229" s="3" t="n">
        <v>-242</v>
      </c>
      <c r="F229" s="3" t="inlineStr">
        <is>
          <t>Débito</t>
        </is>
      </c>
      <c r="G229" s="3" t="inlineStr">
        <is>
          <t>Marketing e Publicidade - Sem NF</t>
        </is>
      </c>
      <c r="H229" s="3" t="inlineStr">
        <is>
          <t>2025-09</t>
        </is>
      </c>
      <c r="I229" s="3" t="n"/>
      <c r="J229" s="3" t="n"/>
    </row>
    <row r="230">
      <c r="A230" s="6" t="n">
        <v>45910</v>
      </c>
      <c r="B230" s="3" t="inlineStr">
        <is>
          <t>Marketing &amp; Growth Expenses</t>
        </is>
      </c>
      <c r="C230" s="3" t="n"/>
      <c r="D230" s="3" t="inlineStr">
        <is>
          <t>RAPHAEL TAVARES SOUZA DOS SANTOS - Transferência | Pix</t>
        </is>
      </c>
      <c r="E230" s="3" t="n">
        <v>-162</v>
      </c>
      <c r="F230" s="3" t="inlineStr">
        <is>
          <t>Débito</t>
        </is>
      </c>
      <c r="G230" s="3" t="inlineStr">
        <is>
          <t>Marketing e Publicidade - Sem NF</t>
        </is>
      </c>
      <c r="H230" s="3" t="inlineStr">
        <is>
          <t>2025-09</t>
        </is>
      </c>
      <c r="I230" s="3" t="n"/>
      <c r="J230" s="3" t="n"/>
    </row>
    <row r="231">
      <c r="A231" s="6" t="n">
        <v>45910</v>
      </c>
      <c r="B231" s="3" t="inlineStr">
        <is>
          <t>Marketing &amp; Growth Expenses</t>
        </is>
      </c>
      <c r="C231" s="3" t="n"/>
      <c r="D231" s="3" t="inlineStr">
        <is>
          <t>WILLIAM OLIVEIRA DE PAULA FILHO - Transferência | Pix</t>
        </is>
      </c>
      <c r="E231" s="3" t="n">
        <v>-376</v>
      </c>
      <c r="F231" s="3" t="inlineStr">
        <is>
          <t>Débito</t>
        </is>
      </c>
      <c r="G231" s="3" t="inlineStr">
        <is>
          <t>Marketing e Publicidade - Sem NF</t>
        </is>
      </c>
      <c r="H231" s="3" t="inlineStr">
        <is>
          <t>2025-09</t>
        </is>
      </c>
      <c r="I231" s="3" t="n"/>
      <c r="J231" s="3" t="n"/>
    </row>
    <row r="232">
      <c r="A232" s="6" t="n">
        <v>45910</v>
      </c>
      <c r="B232" s="3" t="inlineStr">
        <is>
          <t>Marketing &amp; Growth Expenses</t>
        </is>
      </c>
      <c r="C232" s="3" t="n"/>
      <c r="D232" s="3" t="inlineStr">
        <is>
          <t>Rafael Pereira Ramos - Transferência | Pix</t>
        </is>
      </c>
      <c r="E232" s="3" t="n">
        <v>-378</v>
      </c>
      <c r="F232" s="3" t="inlineStr">
        <is>
          <t>Débito</t>
        </is>
      </c>
      <c r="G232" s="3" t="inlineStr">
        <is>
          <t>Marketing e Publicidade - Sem NF</t>
        </is>
      </c>
      <c r="H232" s="3" t="inlineStr">
        <is>
          <t>2025-09</t>
        </is>
      </c>
      <c r="I232" s="3" t="n"/>
      <c r="J232" s="3" t="n"/>
    </row>
    <row r="233">
      <c r="A233" s="6" t="n">
        <v>45910</v>
      </c>
      <c r="B233" s="3" t="inlineStr">
        <is>
          <t>Marketing &amp; Growth Expenses</t>
        </is>
      </c>
      <c r="C233" s="3" t="n"/>
      <c r="D233" s="3" t="inlineStr">
        <is>
          <t>Thiago Bastos Balseiro - Transferência | Pix</t>
        </is>
      </c>
      <c r="E233" s="3" t="n">
        <v>-246</v>
      </c>
      <c r="F233" s="3" t="inlineStr">
        <is>
          <t>Débito</t>
        </is>
      </c>
      <c r="G233" s="3" t="inlineStr">
        <is>
          <t>Marketing e Publicidade - Sem NF</t>
        </is>
      </c>
      <c r="H233" s="3" t="inlineStr">
        <is>
          <t>2025-09</t>
        </is>
      </c>
      <c r="I233" s="3" t="n"/>
      <c r="J233" s="3" t="n"/>
    </row>
    <row r="234">
      <c r="A234" s="6" t="n">
        <v>45910</v>
      </c>
      <c r="B234" s="3" t="inlineStr">
        <is>
          <t>Marketing &amp; Growth Expenses</t>
        </is>
      </c>
      <c r="C234" s="3" t="n"/>
      <c r="D234" s="3" t="inlineStr">
        <is>
          <t>YURI PINTO CAMPOS BELO - Transferência | Pix</t>
        </is>
      </c>
      <c r="E234" s="3" t="n">
        <v>-108</v>
      </c>
      <c r="F234" s="3" t="inlineStr">
        <is>
          <t>Débito</t>
        </is>
      </c>
      <c r="G234" s="3" t="inlineStr">
        <is>
          <t>Marketing e Publicidade - Sem NF</t>
        </is>
      </c>
      <c r="H234" s="3" t="inlineStr">
        <is>
          <t>2025-09</t>
        </is>
      </c>
      <c r="I234" s="3" t="n"/>
      <c r="J234" s="3" t="n"/>
    </row>
    <row r="235">
      <c r="A235" s="6" t="n">
        <v>45910</v>
      </c>
      <c r="B235" s="3" t="inlineStr">
        <is>
          <t>Marketing &amp; Growth Expenses</t>
        </is>
      </c>
      <c r="C235" s="3" t="n"/>
      <c r="D235" s="3" t="inlineStr">
        <is>
          <t>Samira Cristina Leite Ribeiro - Transferência | Pix</t>
        </is>
      </c>
      <c r="E235" s="3" t="n">
        <v>-100</v>
      </c>
      <c r="F235" s="3" t="inlineStr">
        <is>
          <t>Débito</t>
        </is>
      </c>
      <c r="G235" s="3" t="inlineStr">
        <is>
          <t>Marketing e Publicidade - Sem NF</t>
        </is>
      </c>
      <c r="H235" s="3" t="inlineStr">
        <is>
          <t>2025-09</t>
        </is>
      </c>
      <c r="I235" s="3" t="n"/>
      <c r="J235" s="3" t="n"/>
    </row>
    <row r="236">
      <c r="A236" s="6" t="n">
        <v>45910</v>
      </c>
      <c r="B236" s="3" t="inlineStr">
        <is>
          <t>Marketing &amp; Growth Expenses</t>
        </is>
      </c>
      <c r="C236" s="3" t="n"/>
      <c r="D236" s="3" t="inlineStr">
        <is>
          <t>SAMUEL VINICIUS DIAS PIMENTA - Transferência | Pix</t>
        </is>
      </c>
      <c r="E236" s="3" t="n">
        <v>-78</v>
      </c>
      <c r="F236" s="3" t="inlineStr">
        <is>
          <t>Débito</t>
        </is>
      </c>
      <c r="G236" s="3" t="inlineStr">
        <is>
          <t>Marketing e Publicidade - Sem NF</t>
        </is>
      </c>
      <c r="H236" s="3" t="inlineStr">
        <is>
          <t>2025-09</t>
        </is>
      </c>
      <c r="I236" s="3" t="n"/>
      <c r="J236" s="3" t="n"/>
    </row>
    <row r="237">
      <c r="A237" s="6" t="n">
        <v>45910</v>
      </c>
      <c r="B237" s="3" t="inlineStr">
        <is>
          <t>Marketing &amp; Growth Expenses</t>
        </is>
      </c>
      <c r="C237" s="3" t="n"/>
      <c r="D237" s="3" t="inlineStr">
        <is>
          <t>Vytoria Alessandra Rodrigues dos Santos - Transferência | Pix</t>
        </is>
      </c>
      <c r="E237" s="3" t="n">
        <v>-56</v>
      </c>
      <c r="F237" s="3" t="inlineStr">
        <is>
          <t>Débito</t>
        </is>
      </c>
      <c r="G237" s="3" t="inlineStr">
        <is>
          <t>Marketing e Publicidade - Sem NF</t>
        </is>
      </c>
      <c r="H237" s="3" t="inlineStr">
        <is>
          <t>2025-09</t>
        </is>
      </c>
      <c r="I237" s="3" t="n"/>
      <c r="J237" s="3" t="n"/>
    </row>
    <row r="238">
      <c r="A238" s="6" t="n">
        <v>45910</v>
      </c>
      <c r="B238" s="3" t="inlineStr">
        <is>
          <t>Marketing &amp; Growth Expenses</t>
        </is>
      </c>
      <c r="C238" s="3" t="n"/>
      <c r="D238" s="3" t="inlineStr">
        <is>
          <t>RAFAEL VINICIUS DE JESUS LUNA - Transferência | Pix</t>
        </is>
      </c>
      <c r="E238" s="3" t="n">
        <v>-52</v>
      </c>
      <c r="F238" s="3" t="inlineStr">
        <is>
          <t>Débito</t>
        </is>
      </c>
      <c r="G238" s="3" t="inlineStr">
        <is>
          <t>Marketing e Publicidade - Sem NF</t>
        </is>
      </c>
      <c r="H238" s="3" t="inlineStr">
        <is>
          <t>2025-09</t>
        </is>
      </c>
      <c r="I238" s="3" t="n"/>
      <c r="J238" s="3" t="n"/>
    </row>
    <row r="239">
      <c r="A239" s="6" t="n">
        <v>45910</v>
      </c>
      <c r="B239" s="3" t="inlineStr">
        <is>
          <t>Marketing &amp; Growth Expenses</t>
        </is>
      </c>
      <c r="C239" s="3" t="n"/>
      <c r="D239" s="3" t="inlineStr">
        <is>
          <t>Sophia Puttomatti Pazotto - Transferência | Pix</t>
        </is>
      </c>
      <c r="E239" s="3" t="n">
        <v>-52</v>
      </c>
      <c r="F239" s="3" t="inlineStr">
        <is>
          <t>Débito</t>
        </is>
      </c>
      <c r="G239" s="3" t="inlineStr">
        <is>
          <t>Marketing e Publicidade - Sem NF</t>
        </is>
      </c>
      <c r="H239" s="3" t="inlineStr">
        <is>
          <t>2025-09</t>
        </is>
      </c>
      <c r="I239" s="3" t="n"/>
      <c r="J239" s="3" t="n"/>
    </row>
    <row r="240">
      <c r="A240" s="6" t="n">
        <v>45910</v>
      </c>
      <c r="B240" s="3" t="inlineStr">
        <is>
          <t>Marketing &amp; Growth Expenses</t>
        </is>
      </c>
      <c r="C240" s="3" t="n"/>
      <c r="D240" s="3" t="inlineStr">
        <is>
          <t>RODRIGO BARBOSA DE ASSIS - Transferência | Pix</t>
        </is>
      </c>
      <c r="E240" s="3" t="n">
        <v>-52</v>
      </c>
      <c r="F240" s="3" t="inlineStr">
        <is>
          <t>Débito</t>
        </is>
      </c>
      <c r="G240" s="3" t="inlineStr">
        <is>
          <t>Marketing e Publicidade - Sem NF</t>
        </is>
      </c>
      <c r="H240" s="3" t="inlineStr">
        <is>
          <t>2025-09</t>
        </is>
      </c>
      <c r="I240" s="3" t="n"/>
      <c r="J240" s="3" t="n"/>
    </row>
    <row r="241">
      <c r="A241" s="6" t="n">
        <v>45910</v>
      </c>
      <c r="B241" s="3" t="inlineStr">
        <is>
          <t>Marketing &amp; Growth Expenses</t>
        </is>
      </c>
      <c r="C241" s="3" t="n"/>
      <c r="D241" s="3" t="inlineStr">
        <is>
          <t>VICTOR FRANCISCO MARQUES ALVES - Transferência | Pix</t>
        </is>
      </c>
      <c r="E241" s="3" t="n">
        <v>-44</v>
      </c>
      <c r="F241" s="3" t="inlineStr">
        <is>
          <t>Débito</t>
        </is>
      </c>
      <c r="G241" s="3" t="inlineStr">
        <is>
          <t>Marketing e Publicidade - Sem NF</t>
        </is>
      </c>
      <c r="H241" s="3" t="inlineStr">
        <is>
          <t>2025-09</t>
        </is>
      </c>
      <c r="I241" s="3" t="n"/>
      <c r="J241" s="3" t="n"/>
    </row>
    <row r="242">
      <c r="A242" s="6" t="n">
        <v>45910</v>
      </c>
      <c r="B242" s="3" t="inlineStr">
        <is>
          <t>Marketing &amp; Growth Expenses</t>
        </is>
      </c>
      <c r="C242" s="3" t="n"/>
      <c r="D242" s="3" t="inlineStr">
        <is>
          <t>VITORIA HELENA MONTAGNER VAZ - Transferência | Pix</t>
        </is>
      </c>
      <c r="E242" s="3" t="n">
        <v>-44</v>
      </c>
      <c r="F242" s="3" t="inlineStr">
        <is>
          <t>Débito</t>
        </is>
      </c>
      <c r="G242" s="3" t="inlineStr">
        <is>
          <t>Marketing e Publicidade - Sem NF</t>
        </is>
      </c>
      <c r="H242" s="3" t="inlineStr">
        <is>
          <t>2025-09</t>
        </is>
      </c>
      <c r="I242" s="3" t="n"/>
      <c r="J242" s="3" t="n"/>
    </row>
    <row r="243">
      <c r="A243" s="6" t="n">
        <v>45910</v>
      </c>
      <c r="B243" s="3" t="inlineStr">
        <is>
          <t>Marketing &amp; Growth Expenses</t>
        </is>
      </c>
      <c r="C243" s="3" t="n"/>
      <c r="D243" s="3" t="inlineStr">
        <is>
          <t>THALITA OLIVEIRA DO PRADO - Transferência | Pix</t>
        </is>
      </c>
      <c r="E243" s="3" t="n">
        <v>-32</v>
      </c>
      <c r="F243" s="3" t="inlineStr">
        <is>
          <t>Débito</t>
        </is>
      </c>
      <c r="G243" s="3" t="inlineStr">
        <is>
          <t>Marketing e Publicidade - Sem NF</t>
        </is>
      </c>
      <c r="H243" s="3" t="inlineStr">
        <is>
          <t>2025-09</t>
        </is>
      </c>
      <c r="I243" s="3" t="n"/>
      <c r="J243" s="3" t="n"/>
    </row>
    <row r="244">
      <c r="A244" s="6" t="n">
        <v>45910</v>
      </c>
      <c r="B244" s="3" t="inlineStr">
        <is>
          <t>Marketing &amp; Growth Expenses</t>
        </is>
      </c>
      <c r="C244" s="3" t="n"/>
      <c r="D244" s="3" t="inlineStr">
        <is>
          <t>Thalita Vieira Nunes - Transferência | Pix</t>
        </is>
      </c>
      <c r="E244" s="3" t="n">
        <v>-30</v>
      </c>
      <c r="F244" s="3" t="inlineStr">
        <is>
          <t>Débito</t>
        </is>
      </c>
      <c r="G244" s="3" t="inlineStr">
        <is>
          <t>Marketing e Publicidade - Sem NF</t>
        </is>
      </c>
      <c r="H244" s="3" t="inlineStr">
        <is>
          <t>2025-09</t>
        </is>
      </c>
      <c r="I244" s="3" t="n"/>
      <c r="J244" s="3" t="n"/>
    </row>
    <row r="245">
      <c r="A245" s="6" t="n">
        <v>45910</v>
      </c>
      <c r="B245" s="3" t="inlineStr">
        <is>
          <t>Marketing &amp; Growth Expenses</t>
        </is>
      </c>
      <c r="C245" s="3" t="n"/>
      <c r="D245" s="3" t="inlineStr">
        <is>
          <t>Wanderson de Alcantara Silva - Transferência | Pix</t>
        </is>
      </c>
      <c r="E245" s="3" t="n">
        <v>-30</v>
      </c>
      <c r="F245" s="3" t="inlineStr">
        <is>
          <t>Débito</t>
        </is>
      </c>
      <c r="G245" s="3" t="inlineStr">
        <is>
          <t>Marketing e Publicidade - Sem NF</t>
        </is>
      </c>
      <c r="H245" s="3" t="inlineStr">
        <is>
          <t>2025-09</t>
        </is>
      </c>
      <c r="I245" s="3" t="n"/>
      <c r="J245" s="3" t="n"/>
    </row>
    <row r="246">
      <c r="A246" s="6" t="n">
        <v>45910</v>
      </c>
      <c r="B246" s="3" t="inlineStr">
        <is>
          <t>Marketing &amp; Growth Expenses</t>
        </is>
      </c>
      <c r="C246" s="3" t="n"/>
      <c r="D246" s="3" t="inlineStr">
        <is>
          <t>Vivian Fiore Felismino - Transferência | Pix</t>
        </is>
      </c>
      <c r="E246" s="3" t="n">
        <v>-26</v>
      </c>
      <c r="F246" s="3" t="inlineStr">
        <is>
          <t>Débito</t>
        </is>
      </c>
      <c r="G246" s="3" t="inlineStr">
        <is>
          <t>Marketing e Publicidade - Sem NF</t>
        </is>
      </c>
      <c r="H246" s="3" t="inlineStr">
        <is>
          <t>2025-09</t>
        </is>
      </c>
      <c r="I246" s="3" t="n"/>
      <c r="J246" s="3" t="n"/>
    </row>
    <row r="247">
      <c r="A247" s="6" t="n">
        <v>45910</v>
      </c>
      <c r="B247" s="3" t="inlineStr">
        <is>
          <t>Marketing &amp; Growth Expenses</t>
        </is>
      </c>
      <c r="C247" s="3" t="n"/>
      <c r="D247" s="3" t="inlineStr">
        <is>
          <t>eneida pereira dos santos - Transferência | Pix</t>
        </is>
      </c>
      <c r="E247" s="3" t="n">
        <v>-2</v>
      </c>
      <c r="F247" s="3" t="inlineStr">
        <is>
          <t>Débito</t>
        </is>
      </c>
      <c r="G247" s="3" t="inlineStr">
        <is>
          <t>Marketing e Publicidade - Sem NF</t>
        </is>
      </c>
      <c r="H247" s="3" t="inlineStr">
        <is>
          <t>2025-09</t>
        </is>
      </c>
      <c r="I247" s="3" t="n"/>
      <c r="J247" s="3" t="n"/>
    </row>
    <row r="248">
      <c r="A248" s="6" t="n">
        <v>45910</v>
      </c>
      <c r="B248" s="3" t="inlineStr">
        <is>
          <t>Marketing &amp; Growth Expenses</t>
        </is>
      </c>
      <c r="C248" s="3" t="n"/>
      <c r="D248" s="3" t="inlineStr">
        <is>
          <t>Victor Gabriel Candido Ribeiro - Transferência | Pix</t>
        </is>
      </c>
      <c r="E248" s="3" t="n">
        <v>-14</v>
      </c>
      <c r="F248" s="3" t="inlineStr">
        <is>
          <t>Débito</t>
        </is>
      </c>
      <c r="G248" s="3" t="inlineStr">
        <is>
          <t>Marketing e Publicidade - Sem NF</t>
        </is>
      </c>
      <c r="H248" s="3" t="inlineStr">
        <is>
          <t>2025-09</t>
        </is>
      </c>
      <c r="I248" s="3" t="n"/>
      <c r="J248" s="3" t="n"/>
    </row>
    <row r="249">
      <c r="A249" s="6" t="n">
        <v>45910</v>
      </c>
      <c r="B249" s="3" t="inlineStr">
        <is>
          <t>Marketing &amp; Growth Expenses</t>
        </is>
      </c>
      <c r="C249" s="3" t="n"/>
      <c r="D249" s="3" t="inlineStr">
        <is>
          <t>jessica dos santos de santana - Transferência | Pix</t>
        </is>
      </c>
      <c r="E249" s="3" t="n">
        <v>-2</v>
      </c>
      <c r="F249" s="3" t="inlineStr">
        <is>
          <t>Débito</t>
        </is>
      </c>
      <c r="G249" s="3" t="inlineStr">
        <is>
          <t>Marketing e Publicidade - Sem NF</t>
        </is>
      </c>
      <c r="H249" s="3" t="inlineStr">
        <is>
          <t>2025-09</t>
        </is>
      </c>
      <c r="I249" s="3" t="n"/>
      <c r="J249" s="3" t="n"/>
    </row>
    <row r="250">
      <c r="A250" s="6" t="n">
        <v>45910</v>
      </c>
      <c r="B250" s="3" t="inlineStr">
        <is>
          <t>Marketing &amp; Growth Expenses</t>
        </is>
      </c>
      <c r="C250" s="3" t="n"/>
      <c r="D250" s="3" t="inlineStr">
        <is>
          <t>Rafael Parreira Lasmar - Transferência | Pix</t>
        </is>
      </c>
      <c r="E250" s="3" t="n">
        <v>-6</v>
      </c>
      <c r="F250" s="3" t="inlineStr">
        <is>
          <t>Débito</t>
        </is>
      </c>
      <c r="G250" s="3" t="inlineStr">
        <is>
          <t>Marketing e Publicidade - Sem NF</t>
        </is>
      </c>
      <c r="H250" s="3" t="inlineStr">
        <is>
          <t>2025-09</t>
        </is>
      </c>
      <c r="I250" s="3" t="n"/>
      <c r="J250" s="3" t="n"/>
    </row>
    <row r="251">
      <c r="A251" s="6" t="n">
        <v>45910</v>
      </c>
      <c r="B251" s="3" t="inlineStr">
        <is>
          <t>Marketing &amp; Growth Expenses</t>
        </is>
      </c>
      <c r="C251" s="3" t="n"/>
      <c r="D251" s="3" t="inlineStr">
        <is>
          <t>VITOR RIBEIRO DE SOUSA - Transferência | Pix</t>
        </is>
      </c>
      <c r="E251" s="3" t="n">
        <v>-6</v>
      </c>
      <c r="F251" s="3" t="inlineStr">
        <is>
          <t>Débito</t>
        </is>
      </c>
      <c r="G251" s="3" t="inlineStr">
        <is>
          <t>Marketing e Publicidade - Sem NF</t>
        </is>
      </c>
      <c r="H251" s="3" t="inlineStr">
        <is>
          <t>2025-09</t>
        </is>
      </c>
      <c r="I251" s="3" t="n"/>
      <c r="J251" s="3" t="n"/>
    </row>
    <row r="252">
      <c r="A252" s="6" t="n">
        <v>45910</v>
      </c>
      <c r="B252" s="3" t="inlineStr">
        <is>
          <t>Marketing &amp; Growth Expenses</t>
        </is>
      </c>
      <c r="C252" s="3" t="n"/>
      <c r="D252" s="3" t="inlineStr">
        <is>
          <t>Yara Debossam Queiroz - Transferência | Pix</t>
        </is>
      </c>
      <c r="E252" s="3" t="n">
        <v>-6</v>
      </c>
      <c r="F252" s="3" t="inlineStr">
        <is>
          <t>Débito</t>
        </is>
      </c>
      <c r="G252" s="3" t="inlineStr">
        <is>
          <t>Marketing e Publicidade - Sem NF</t>
        </is>
      </c>
      <c r="H252" s="3" t="inlineStr">
        <is>
          <t>2025-09</t>
        </is>
      </c>
      <c r="I252" s="3" t="n"/>
      <c r="J252" s="3" t="n"/>
    </row>
    <row r="253">
      <c r="A253" s="6" t="n">
        <v>45910</v>
      </c>
      <c r="B253" s="3" t="inlineStr">
        <is>
          <t>Marketing &amp; Growth Expenses</t>
        </is>
      </c>
      <c r="C253" s="3" t="n"/>
      <c r="D253" s="3" t="inlineStr">
        <is>
          <t>Rafael De Morais - Transferência | Pix</t>
        </is>
      </c>
      <c r="E253" s="3" t="n">
        <v>-4</v>
      </c>
      <c r="F253" s="3" t="inlineStr">
        <is>
          <t>Débito</t>
        </is>
      </c>
      <c r="G253" s="3" t="inlineStr">
        <is>
          <t>Marketing e Publicidade - Sem NF</t>
        </is>
      </c>
      <c r="H253" s="3" t="inlineStr">
        <is>
          <t>2025-09</t>
        </is>
      </c>
      <c r="I253" s="3" t="n"/>
      <c r="J253" s="3" t="n"/>
    </row>
    <row r="254">
      <c r="A254" s="6" t="n">
        <v>45910</v>
      </c>
      <c r="B254" s="3" t="inlineStr">
        <is>
          <t>Marketing &amp; Growth Expenses</t>
        </is>
      </c>
      <c r="C254" s="3" t="n"/>
      <c r="D254" s="3" t="inlineStr">
        <is>
          <t>SAMARA FRANCIELE HERDY DA SILVA - Transferência | Pix</t>
        </is>
      </c>
      <c r="E254" s="3" t="n">
        <v>-4</v>
      </c>
      <c r="F254" s="3" t="inlineStr">
        <is>
          <t>Débito</t>
        </is>
      </c>
      <c r="G254" s="3" t="inlineStr">
        <is>
          <t>Marketing e Publicidade - Sem NF</t>
        </is>
      </c>
      <c r="H254" s="3" t="inlineStr">
        <is>
          <t>2025-09</t>
        </is>
      </c>
      <c r="I254" s="3" t="n"/>
      <c r="J254" s="3" t="n"/>
    </row>
    <row r="255">
      <c r="A255" s="6" t="n">
        <v>45910</v>
      </c>
      <c r="B255" s="3" t="inlineStr">
        <is>
          <t>Marketing &amp; Growth Expenses</t>
        </is>
      </c>
      <c r="C255" s="3" t="n"/>
      <c r="D255" s="3" t="inlineStr">
        <is>
          <t>Weslley Vinicius Mazzo - Transferência | Pix</t>
        </is>
      </c>
      <c r="E255" s="3" t="n">
        <v>-4</v>
      </c>
      <c r="F255" s="3" t="inlineStr">
        <is>
          <t>Débito</t>
        </is>
      </c>
      <c r="G255" s="3" t="inlineStr">
        <is>
          <t>Marketing e Publicidade - Sem NF</t>
        </is>
      </c>
      <c r="H255" s="3" t="inlineStr">
        <is>
          <t>2025-09</t>
        </is>
      </c>
      <c r="I255" s="3" t="n"/>
      <c r="J255" s="3" t="n"/>
    </row>
    <row r="256">
      <c r="A256" s="6" t="n">
        <v>45910</v>
      </c>
      <c r="B256" s="3" t="inlineStr">
        <is>
          <t>Marketing &amp; Growth Expenses</t>
        </is>
      </c>
      <c r="C256" s="3" t="n"/>
      <c r="D256" s="3" t="inlineStr">
        <is>
          <t>VINICIO PIRES MARTINS - Transferência | Pix</t>
        </is>
      </c>
      <c r="E256" s="3" t="n">
        <v>-2</v>
      </c>
      <c r="F256" s="3" t="inlineStr">
        <is>
          <t>Débito</t>
        </is>
      </c>
      <c r="G256" s="3" t="inlineStr">
        <is>
          <t>Marketing e Publicidade - Sem NF</t>
        </is>
      </c>
      <c r="H256" s="3" t="inlineStr">
        <is>
          <t>2025-09</t>
        </is>
      </c>
      <c r="I256" s="3" t="n"/>
      <c r="J256" s="3" t="n"/>
    </row>
    <row r="257">
      <c r="A257" s="6" t="n">
        <v>45910</v>
      </c>
      <c r="B257" s="3" t="inlineStr">
        <is>
          <t>Rendimentos de Aplicações</t>
        </is>
      </c>
      <c r="C257" s="3" t="inlineStr">
        <is>
          <t>CONTA SIMPLES</t>
        </is>
      </c>
      <c r="D257" s="3" t="inlineStr">
        <is>
          <t>Rentabilidade CDI</t>
        </is>
      </c>
      <c r="E257" s="3" t="n">
        <v>32.15</v>
      </c>
      <c r="F257" s="3" t="inlineStr">
        <is>
          <t>Crédito</t>
        </is>
      </c>
      <c r="G257" s="3" t="inlineStr">
        <is>
          <t>Rendimentos de Aplicações</t>
        </is>
      </c>
      <c r="H257" s="3" t="inlineStr">
        <is>
          <t>2025-09</t>
        </is>
      </c>
      <c r="I257" s="3" t="n"/>
      <c r="J257" s="3" t="n"/>
    </row>
    <row r="258">
      <c r="A258" s="6" t="n">
        <v>45910</v>
      </c>
      <c r="B258" s="3" t="inlineStr">
        <is>
          <t>Identificar</t>
        </is>
      </c>
      <c r="C258" s="3" t="n"/>
      <c r="D258" s="3" t="inlineStr">
        <is>
          <t>PIX Enviado para EBANX Ltda.</t>
        </is>
      </c>
      <c r="E258" s="3" t="n">
        <v>-269</v>
      </c>
      <c r="F258" s="3" t="inlineStr">
        <is>
          <t>Débito</t>
        </is>
      </c>
      <c r="G258" s="3" t="inlineStr">
        <is>
          <t>Despesas a identificar</t>
        </is>
      </c>
      <c r="H258" s="3" t="inlineStr">
        <is>
          <t>2025-09</t>
        </is>
      </c>
      <c r="I258" s="3" t="n"/>
      <c r="J258" s="3" t="n"/>
    </row>
    <row r="259">
      <c r="A259" s="6" t="n">
        <v>45911</v>
      </c>
      <c r="B259" s="3" t="inlineStr">
        <is>
          <t>Rendimentos de Aplicações</t>
        </is>
      </c>
      <c r="C259" s="3" t="inlineStr">
        <is>
          <t>CONTA SIMPLES</t>
        </is>
      </c>
      <c r="D259" s="3" t="inlineStr">
        <is>
          <t>Rentabilidade CDI - Remuneração-Cta Pgto</t>
        </is>
      </c>
      <c r="E259" s="3" t="n">
        <v>37.18</v>
      </c>
      <c r="F259" s="3" t="inlineStr">
        <is>
          <t>Crédito</t>
        </is>
      </c>
      <c r="G259" s="3" t="inlineStr">
        <is>
          <t>Rendimentos de Aplicações</t>
        </is>
      </c>
      <c r="H259" s="3" t="inlineStr">
        <is>
          <t>2025-09</t>
        </is>
      </c>
      <c r="I259" s="3" t="n"/>
      <c r="J259" s="3" t="n"/>
    </row>
    <row r="260">
      <c r="A260" s="6" t="n">
        <v>45912</v>
      </c>
      <c r="B260" s="3" t="inlineStr">
        <is>
          <t>Rendimentos de Aplicações</t>
        </is>
      </c>
      <c r="C260" s="3" t="inlineStr">
        <is>
          <t>CONTA SIMPLES</t>
        </is>
      </c>
      <c r="D260" s="3" t="inlineStr">
        <is>
          <t>Rentabilidade CDI</t>
        </is>
      </c>
      <c r="E260" s="3" t="n">
        <v>35.1</v>
      </c>
      <c r="F260" s="3" t="inlineStr">
        <is>
          <t>Crédito</t>
        </is>
      </c>
      <c r="G260" s="3" t="inlineStr">
        <is>
          <t>Rendimentos de Aplicações</t>
        </is>
      </c>
      <c r="H260" s="3" t="inlineStr">
        <is>
          <t>2025-09</t>
        </is>
      </c>
      <c r="I260" s="3" t="n"/>
      <c r="J260" s="3" t="n"/>
    </row>
    <row r="261">
      <c r="A261" s="6" t="n">
        <v>45912</v>
      </c>
      <c r="B261" s="3" t="inlineStr">
        <is>
          <t>Identificar</t>
        </is>
      </c>
      <c r="C261" s="3" t="n"/>
      <c r="D261" s="3" t="inlineStr">
        <is>
          <t>PIX Enviado para MARELOI COMERCIAL LTDA</t>
        </is>
      </c>
      <c r="E261" s="3" t="n">
        <v>-130.75</v>
      </c>
      <c r="F261" s="3" t="inlineStr">
        <is>
          <t>Débito</t>
        </is>
      </c>
      <c r="G261" s="3" t="inlineStr">
        <is>
          <t>Despesas a identificar</t>
        </is>
      </c>
      <c r="H261" s="3" t="inlineStr">
        <is>
          <t>2025-09</t>
        </is>
      </c>
      <c r="I261" s="3" t="n"/>
      <c r="J261" s="3" t="n"/>
    </row>
    <row r="262">
      <c r="A262" s="6" t="n">
        <v>45881</v>
      </c>
      <c r="B262" s="3" t="inlineStr">
        <is>
          <t>Tech Support &amp; Services</t>
        </is>
      </c>
      <c r="C262" s="3" t="n"/>
      <c r="D262" s="3" t="inlineStr">
        <is>
          <t>1PASSWORD</t>
        </is>
      </c>
      <c r="E262" s="3" t="n">
        <v>-619.48</v>
      </c>
      <c r="F262" s="3" t="inlineStr">
        <is>
          <t>Débito</t>
        </is>
      </c>
      <c r="G262" s="3" t="inlineStr">
        <is>
          <t>Software / Licença de Uso</t>
        </is>
      </c>
      <c r="H262" s="3" t="inlineStr">
        <is>
          <t>2025-08</t>
        </is>
      </c>
      <c r="I262" s="3" t="n"/>
      <c r="J262" s="3" t="n"/>
    </row>
    <row r="263">
      <c r="A263" s="6" t="n">
        <v>45881</v>
      </c>
      <c r="B263" s="3" t="inlineStr">
        <is>
          <t>Other Taxes</t>
        </is>
      </c>
      <c r="C263" s="3" t="n"/>
      <c r="D263" s="3" t="inlineStr">
        <is>
          <t>1PASSWORD</t>
        </is>
      </c>
      <c r="E263" s="3" t="n">
        <v>-21.68</v>
      </c>
      <c r="F263" s="3" t="inlineStr">
        <is>
          <t>Débito</t>
        </is>
      </c>
      <c r="G263" s="3" t="inlineStr">
        <is>
          <t>IOF</t>
        </is>
      </c>
      <c r="H263" s="3" t="inlineStr">
        <is>
          <t>2025-08</t>
        </is>
      </c>
      <c r="I263" s="3" t="n"/>
      <c r="J263" s="3" t="n"/>
    </row>
    <row r="264">
      <c r="A264" s="6" t="n">
        <v>45905</v>
      </c>
      <c r="B264" s="3" t="inlineStr">
        <is>
          <t>Other Taxes</t>
        </is>
      </c>
      <c r="C264" s="3" t="n"/>
      <c r="D264" s="3" t="inlineStr">
        <is>
          <t>650 INDUSTRIES (EXPO)</t>
        </is>
      </c>
      <c r="E264" s="3" t="n">
        <v>-9.49</v>
      </c>
      <c r="F264" s="3" t="inlineStr">
        <is>
          <t>Débito</t>
        </is>
      </c>
      <c r="G264" s="3" t="inlineStr">
        <is>
          <t>IOF</t>
        </is>
      </c>
      <c r="H264" s="3" t="inlineStr">
        <is>
          <t>2025-09</t>
        </is>
      </c>
      <c r="I264" s="3" t="n"/>
      <c r="J264" s="3" t="n"/>
    </row>
    <row r="265">
      <c r="A265" s="6" t="n">
        <v>45905</v>
      </c>
      <c r="B265" s="3" t="inlineStr">
        <is>
          <t>Tech Support &amp; Services</t>
        </is>
      </c>
      <c r="C265" s="3" t="n"/>
      <c r="D265" s="3" t="inlineStr">
        <is>
          <t>650 INDUSTRIES (EXPO)</t>
        </is>
      </c>
      <c r="E265" s="3" t="n">
        <v>-271.16</v>
      </c>
      <c r="F265" s="3" t="inlineStr">
        <is>
          <t>Débito</t>
        </is>
      </c>
      <c r="G265" s="3" t="inlineStr">
        <is>
          <t>Software / Licença de Uso</t>
        </is>
      </c>
      <c r="H265" s="3" t="inlineStr">
        <is>
          <t>2025-09</t>
        </is>
      </c>
      <c r="I265" s="3" t="n"/>
      <c r="J265" s="3" t="n"/>
    </row>
    <row r="266">
      <c r="A266" s="6" t="n">
        <v>45907</v>
      </c>
      <c r="B266" s="3" t="inlineStr">
        <is>
          <t>Other Taxes</t>
        </is>
      </c>
      <c r="C266" s="3" t="n"/>
      <c r="D266" s="3" t="inlineStr">
        <is>
          <t>AGORAPULSE SAS</t>
        </is>
      </c>
      <c r="E266" s="3" t="n">
        <v>-9.69</v>
      </c>
      <c r="F266" s="3" t="inlineStr">
        <is>
          <t>Débito</t>
        </is>
      </c>
      <c r="G266" s="3" t="inlineStr">
        <is>
          <t>IOF</t>
        </is>
      </c>
      <c r="H266" s="3" t="inlineStr">
        <is>
          <t>2025-09</t>
        </is>
      </c>
      <c r="I266" s="3" t="n"/>
      <c r="J266" s="3" t="n"/>
    </row>
    <row r="267">
      <c r="A267" s="6" t="n">
        <v>45907</v>
      </c>
      <c r="B267" s="3" t="inlineStr">
        <is>
          <t>Tech Support &amp; Services</t>
        </is>
      </c>
      <c r="C267" s="3" t="n"/>
      <c r="D267" s="3" t="inlineStr">
        <is>
          <t>AGORAPULSE SAS</t>
        </is>
      </c>
      <c r="E267" s="3" t="n">
        <v>-276.81</v>
      </c>
      <c r="F267" s="3" t="inlineStr">
        <is>
          <t>Débito</t>
        </is>
      </c>
      <c r="G267" s="3" t="inlineStr">
        <is>
          <t>Software / Licença de Uso</t>
        </is>
      </c>
      <c r="H267" s="3" t="inlineStr">
        <is>
          <t>2025-09</t>
        </is>
      </c>
      <c r="I267" s="3" t="n"/>
      <c r="J267" s="3" t="n"/>
    </row>
    <row r="268">
      <c r="A268" s="6" t="n">
        <v>45881</v>
      </c>
      <c r="B268" s="3" t="inlineStr">
        <is>
          <t>Tech Support &amp; Services</t>
        </is>
      </c>
      <c r="C268" s="3" t="n"/>
      <c r="D268" s="3" t="inlineStr">
        <is>
          <t>AMPLITUDE, INC.</t>
        </is>
      </c>
      <c r="E268" s="3" t="n">
        <v>-17757.49</v>
      </c>
      <c r="F268" s="3" t="inlineStr">
        <is>
          <t>Débito</t>
        </is>
      </c>
      <c r="G268" s="3" t="inlineStr">
        <is>
          <t>Software / Licença de Uso</t>
        </is>
      </c>
      <c r="H268" s="3" t="inlineStr">
        <is>
          <t>2025-08</t>
        </is>
      </c>
      <c r="I268" s="3" t="n"/>
      <c r="J268" s="3" t="n"/>
    </row>
    <row r="269">
      <c r="A269" s="6" t="n">
        <v>45881</v>
      </c>
      <c r="B269" s="3" t="inlineStr">
        <is>
          <t>Other Taxes</t>
        </is>
      </c>
      <c r="C269" s="3" t="n"/>
      <c r="D269" s="3" t="inlineStr">
        <is>
          <t>AMPLITUDE, INC.</t>
        </is>
      </c>
      <c r="E269" s="3" t="n">
        <v>-621.51</v>
      </c>
      <c r="F269" s="3" t="inlineStr">
        <is>
          <t>Débito</t>
        </is>
      </c>
      <c r="G269" s="3" t="inlineStr">
        <is>
          <t>IOF</t>
        </is>
      </c>
      <c r="H269" s="3" t="inlineStr">
        <is>
          <t>2025-08</t>
        </is>
      </c>
      <c r="I269" s="3" t="n"/>
      <c r="J269" s="3" t="n"/>
    </row>
    <row r="270">
      <c r="A270" s="6" t="n">
        <v>45901</v>
      </c>
      <c r="B270" s="3" t="inlineStr">
        <is>
          <t>Tech Support &amp; Services</t>
        </is>
      </c>
      <c r="C270" s="3" t="n"/>
      <c r="D270" s="3" t="inlineStr">
        <is>
          <t>APPLE.COM/BILL</t>
        </is>
      </c>
      <c r="E270" s="3" t="n">
        <v>-109</v>
      </c>
      <c r="F270" s="3" t="inlineStr">
        <is>
          <t>Débito</t>
        </is>
      </c>
      <c r="G270" s="3" t="inlineStr">
        <is>
          <t>Software / Licença de Uso</t>
        </is>
      </c>
      <c r="H270" s="3" t="inlineStr">
        <is>
          <t>2025-09</t>
        </is>
      </c>
      <c r="I270" s="3" t="n"/>
      <c r="J270" s="3" t="n"/>
    </row>
    <row r="271">
      <c r="A271" s="6" t="n">
        <v>45903</v>
      </c>
      <c r="B271" s="3" t="inlineStr">
        <is>
          <t>Tech Support &amp; Services</t>
        </is>
      </c>
      <c r="C271" s="3" t="n"/>
      <c r="D271" s="3" t="inlineStr">
        <is>
          <t>ASAAS*SOCIALHUB SERVICOS</t>
        </is>
      </c>
      <c r="E271" s="3" t="n">
        <v>-199</v>
      </c>
      <c r="F271" s="3" t="inlineStr">
        <is>
          <t>Débito</t>
        </is>
      </c>
      <c r="G271" s="3" t="inlineStr">
        <is>
          <t>Software / Licença de Uso</t>
        </is>
      </c>
      <c r="H271" s="3" t="inlineStr">
        <is>
          <t>2025-09</t>
        </is>
      </c>
      <c r="I271" s="3" t="n"/>
      <c r="J271" s="3" t="n"/>
    </row>
    <row r="272">
      <c r="A272" s="6" t="n">
        <v>45901</v>
      </c>
      <c r="B272" s="3" t="inlineStr">
        <is>
          <t>Web Services Expenses</t>
        </is>
      </c>
      <c r="C272" s="3" t="n"/>
      <c r="D272" s="3" t="inlineStr">
        <is>
          <t>AWS BRAZIL</t>
        </is>
      </c>
      <c r="E272" s="3" t="n">
        <v>-241.06</v>
      </c>
      <c r="F272" s="3" t="inlineStr">
        <is>
          <t>Débito</t>
        </is>
      </c>
      <c r="G272" s="3" t="inlineStr">
        <is>
          <t>Software / Licença de Uso</t>
        </is>
      </c>
      <c r="H272" s="3" t="inlineStr">
        <is>
          <t>2025-09</t>
        </is>
      </c>
      <c r="I272" s="3" t="n"/>
      <c r="J272" s="3" t="n"/>
    </row>
    <row r="273">
      <c r="A273" s="6" t="n">
        <v>45890</v>
      </c>
      <c r="B273" s="3" t="inlineStr">
        <is>
          <t>Other Taxes</t>
        </is>
      </c>
      <c r="C273" s="3" t="n"/>
      <c r="D273" s="3" t="inlineStr">
        <is>
          <t>BKG*HOTEL AT BOOKING.C</t>
        </is>
      </c>
      <c r="E273" s="3" t="n">
        <v>-379.31</v>
      </c>
      <c r="F273" s="3" t="inlineStr">
        <is>
          <t>Débito</t>
        </is>
      </c>
      <c r="G273" s="3" t="inlineStr">
        <is>
          <t>IOF</t>
        </is>
      </c>
      <c r="H273" s="3" t="inlineStr">
        <is>
          <t>2025-08</t>
        </is>
      </c>
      <c r="I273" s="3" t="n"/>
      <c r="J273" s="3" t="n"/>
    </row>
    <row r="274">
      <c r="A274" s="6" t="n">
        <v>45890</v>
      </c>
      <c r="B274" s="3" t="inlineStr">
        <is>
          <t>Web Services Expenses</t>
        </is>
      </c>
      <c r="C274" s="3" t="n"/>
      <c r="D274" s="3" t="inlineStr">
        <is>
          <t>BKG*HOTEL AT BOOKING.C</t>
        </is>
      </c>
      <c r="E274" s="3" t="n">
        <v>-10837.33</v>
      </c>
      <c r="F274" s="3" t="inlineStr">
        <is>
          <t>Débito</t>
        </is>
      </c>
      <c r="G274" s="3" t="inlineStr">
        <is>
          <t>Software / Licença de Uso</t>
        </is>
      </c>
      <c r="H274" s="3" t="inlineStr">
        <is>
          <t>2025-08</t>
        </is>
      </c>
      <c r="I274" s="3" t="n"/>
      <c r="J274" s="3" t="n"/>
    </row>
    <row r="275">
      <c r="A275" s="6" t="n">
        <v>45890</v>
      </c>
      <c r="B275" s="3" t="inlineStr">
        <is>
          <t>Other Taxes</t>
        </is>
      </c>
      <c r="C275" s="3" t="n"/>
      <c r="D275" s="3" t="inlineStr">
        <is>
          <t>BKG*HOTEL AT BOOKING.C</t>
        </is>
      </c>
      <c r="E275" s="3" t="n">
        <v>-321.08</v>
      </c>
      <c r="F275" s="3" t="inlineStr">
        <is>
          <t>Débito</t>
        </is>
      </c>
      <c r="G275" s="3" t="inlineStr">
        <is>
          <t>IOF</t>
        </is>
      </c>
      <c r="H275" s="3" t="inlineStr">
        <is>
          <t>2025-08</t>
        </is>
      </c>
      <c r="I275" s="3" t="n"/>
      <c r="J275" s="3" t="n"/>
    </row>
    <row r="276">
      <c r="A276" s="6" t="n">
        <v>45890</v>
      </c>
      <c r="B276" s="3" t="inlineStr">
        <is>
          <t>Web Services Expenses</t>
        </is>
      </c>
      <c r="C276" s="3" t="n"/>
      <c r="D276" s="3" t="inlineStr">
        <is>
          <t>BKG*HOTEL AT BOOKING.C</t>
        </is>
      </c>
      <c r="E276" s="3" t="n">
        <v>-9173.74</v>
      </c>
      <c r="F276" s="3" t="inlineStr">
        <is>
          <t>Débito</t>
        </is>
      </c>
      <c r="G276" s="3" t="inlineStr">
        <is>
          <t>Software / Licença de Uso</t>
        </is>
      </c>
      <c r="H276" s="3" t="inlineStr">
        <is>
          <t>2025-08</t>
        </is>
      </c>
      <c r="I276" s="3" t="n"/>
      <c r="J276" s="3" t="n"/>
    </row>
    <row r="277">
      <c r="A277" s="6" t="n">
        <v>45891</v>
      </c>
      <c r="B277" s="3" t="inlineStr">
        <is>
          <t>Other Taxes</t>
        </is>
      </c>
      <c r="C277" s="3" t="n"/>
      <c r="D277" s="3" t="inlineStr">
        <is>
          <t>BLAZE TODAY</t>
        </is>
      </c>
      <c r="E277" s="3" t="n">
        <v>-0.6899999999999999</v>
      </c>
      <c r="F277" s="3" t="inlineStr">
        <is>
          <t>Débito</t>
        </is>
      </c>
      <c r="G277" s="3" t="inlineStr">
        <is>
          <t>IOF</t>
        </is>
      </c>
      <c r="H277" s="3" t="inlineStr">
        <is>
          <t>2025-08</t>
        </is>
      </c>
      <c r="I277" s="3" t="n"/>
      <c r="J277" s="3" t="n"/>
    </row>
    <row r="278">
      <c r="A278" s="6" t="n">
        <v>45891</v>
      </c>
      <c r="B278" s="3" t="inlineStr">
        <is>
          <t>Web Services Expenses</t>
        </is>
      </c>
      <c r="C278" s="3" t="n"/>
      <c r="D278" s="3" t="inlineStr">
        <is>
          <t>BLAZE TODAY</t>
        </is>
      </c>
      <c r="E278" s="3" t="n">
        <v>-19.8</v>
      </c>
      <c r="F278" s="3" t="inlineStr">
        <is>
          <t>Débito</t>
        </is>
      </c>
      <c r="G278" s="3" t="inlineStr">
        <is>
          <t>Software / Licença de Uso</t>
        </is>
      </c>
      <c r="H278" s="3" t="inlineStr">
        <is>
          <t>2025-08</t>
        </is>
      </c>
      <c r="I278" s="3" t="n"/>
      <c r="J278" s="3" t="n"/>
    </row>
    <row r="279">
      <c r="A279" s="6" t="n">
        <v>45890</v>
      </c>
      <c r="B279" s="3" t="inlineStr">
        <is>
          <t>Other Taxes</t>
        </is>
      </c>
      <c r="C279" s="3" t="n"/>
      <c r="D279" s="3" t="inlineStr">
        <is>
          <t>BOOKING.COM* 1O50DMPH3</t>
        </is>
      </c>
      <c r="E279" s="3" t="n">
        <v>-166.82</v>
      </c>
      <c r="F279" s="3" t="inlineStr">
        <is>
          <t>Débito</t>
        </is>
      </c>
      <c r="G279" s="3" t="inlineStr">
        <is>
          <t>IOF</t>
        </is>
      </c>
      <c r="H279" s="3" t="inlineStr">
        <is>
          <t>2025-08</t>
        </is>
      </c>
      <c r="I279" s="3" t="n"/>
      <c r="J279" s="3" t="n"/>
    </row>
    <row r="280">
      <c r="A280" s="6" t="n">
        <v>45890</v>
      </c>
      <c r="B280" s="3" t="inlineStr">
        <is>
          <t>Web Services Expenses</t>
        </is>
      </c>
      <c r="C280" s="3" t="n"/>
      <c r="D280" s="3" t="inlineStr">
        <is>
          <t>BOOKING.COM* 1O50DMPH3</t>
        </is>
      </c>
      <c r="E280" s="3" t="n">
        <v>-4766.29</v>
      </c>
      <c r="F280" s="3" t="inlineStr">
        <is>
          <t>Débito</t>
        </is>
      </c>
      <c r="G280" s="3" t="inlineStr">
        <is>
          <t>Software / Licença de Uso</t>
        </is>
      </c>
      <c r="H280" s="3" t="inlineStr">
        <is>
          <t>2025-08</t>
        </is>
      </c>
      <c r="I280" s="3" t="n"/>
      <c r="J280" s="3" t="n"/>
    </row>
    <row r="281">
      <c r="A281" s="6" t="n">
        <v>45887</v>
      </c>
      <c r="B281" s="3" t="inlineStr">
        <is>
          <t>Other Taxes</t>
        </is>
      </c>
      <c r="C281" s="3" t="n"/>
      <c r="D281" s="3" t="inlineStr">
        <is>
          <t>CAMBLY</t>
        </is>
      </c>
      <c r="E281" s="3" t="n">
        <v>-47.68</v>
      </c>
      <c r="F281" s="3" t="inlineStr">
        <is>
          <t>Débito</t>
        </is>
      </c>
      <c r="G281" s="3" t="inlineStr">
        <is>
          <t>IOF</t>
        </is>
      </c>
      <c r="H281" s="3" t="inlineStr">
        <is>
          <t>2025-08</t>
        </is>
      </c>
      <c r="I281" s="3" t="n"/>
      <c r="J281" s="3" t="n"/>
    </row>
    <row r="282">
      <c r="A282" s="6" t="n">
        <v>45887</v>
      </c>
      <c r="B282" s="3" t="inlineStr">
        <is>
          <t>Advisory &amp; Prof. Services Expenses</t>
        </is>
      </c>
      <c r="C282" s="3" t="n"/>
      <c r="D282" s="3" t="inlineStr">
        <is>
          <t>CAMBLY</t>
        </is>
      </c>
      <c r="E282" s="3" t="n">
        <v>-1362.37</v>
      </c>
      <c r="F282" s="3" t="inlineStr">
        <is>
          <t>Débito</t>
        </is>
      </c>
      <c r="G282" s="3" t="inlineStr">
        <is>
          <t>Cursos e Treinamentos</t>
        </is>
      </c>
      <c r="H282" s="3" t="inlineStr">
        <is>
          <t>2025-08</t>
        </is>
      </c>
      <c r="I282" s="3" t="n"/>
      <c r="J282" s="3" t="n"/>
    </row>
    <row r="283">
      <c r="A283" s="6" t="n">
        <v>45898</v>
      </c>
      <c r="B283" s="3" t="inlineStr">
        <is>
          <t>Other Taxes</t>
        </is>
      </c>
      <c r="C283" s="3" t="n"/>
      <c r="D283" s="3" t="inlineStr">
        <is>
          <t>CLOUDFLARE</t>
        </is>
      </c>
      <c r="E283" s="3" t="n">
        <v>-13.98</v>
      </c>
      <c r="F283" s="3" t="inlineStr">
        <is>
          <t>Débito</t>
        </is>
      </c>
      <c r="G283" s="3" t="inlineStr">
        <is>
          <t>IOF</t>
        </is>
      </c>
      <c r="H283" s="3" t="inlineStr">
        <is>
          <t>2025-08</t>
        </is>
      </c>
      <c r="I283" s="3" t="n"/>
      <c r="J283" s="3" t="n"/>
    </row>
    <row r="284">
      <c r="A284" s="6" t="n">
        <v>45898</v>
      </c>
      <c r="B284" s="3" t="inlineStr">
        <is>
          <t>Tech Support &amp; Services</t>
        </is>
      </c>
      <c r="C284" s="3" t="n"/>
      <c r="D284" s="3" t="inlineStr">
        <is>
          <t>CLOUDFLARE</t>
        </is>
      </c>
      <c r="E284" s="3" t="n">
        <v>-399.53</v>
      </c>
      <c r="F284" s="3" t="inlineStr">
        <is>
          <t>Débito</t>
        </is>
      </c>
      <c r="G284" s="3" t="inlineStr">
        <is>
          <t>Software / Licença de Uso</t>
        </is>
      </c>
      <c r="H284" s="3" t="inlineStr">
        <is>
          <t>2025-08</t>
        </is>
      </c>
      <c r="I284" s="3" t="n"/>
      <c r="J284" s="3" t="n"/>
    </row>
    <row r="285">
      <c r="A285" s="6" t="n">
        <v>45832</v>
      </c>
      <c r="B285" s="3" t="inlineStr">
        <is>
          <t>Web Services Expenses</t>
        </is>
      </c>
      <c r="C285" s="3" t="n"/>
      <c r="D285" s="3" t="inlineStr">
        <is>
          <t>CONTA AZUL</t>
        </is>
      </c>
      <c r="E285" s="3" t="n">
        <v>-401.44</v>
      </c>
      <c r="F285" s="3" t="inlineStr">
        <is>
          <t>Débito</t>
        </is>
      </c>
      <c r="G285" s="3" t="inlineStr">
        <is>
          <t>Software / Licença de Uso</t>
        </is>
      </c>
      <c r="H285" s="3" t="inlineStr">
        <is>
          <t>2025-06</t>
        </is>
      </c>
      <c r="I285" s="3" t="n"/>
      <c r="J285" s="3" t="n"/>
    </row>
    <row r="286">
      <c r="A286" s="6" t="n">
        <v>45877</v>
      </c>
      <c r="B286" s="3" t="inlineStr">
        <is>
          <t>Tech Support &amp; Services</t>
        </is>
      </c>
      <c r="C286" s="3" t="n"/>
      <c r="D286" s="3" t="inlineStr">
        <is>
          <t>CURSOR USAGE  JUL</t>
        </is>
      </c>
      <c r="E286" s="3" t="n">
        <v>-61.07</v>
      </c>
      <c r="F286" s="3" t="inlineStr">
        <is>
          <t>Débito</t>
        </is>
      </c>
      <c r="G286" s="3" t="inlineStr">
        <is>
          <t>Software / Licença de Uso</t>
        </is>
      </c>
      <c r="H286" s="3" t="inlineStr">
        <is>
          <t>2025-08</t>
        </is>
      </c>
      <c r="I286" s="3" t="n"/>
      <c r="J286" s="3" t="n"/>
    </row>
    <row r="287">
      <c r="A287" s="6" t="n">
        <v>45890</v>
      </c>
      <c r="B287" s="3" t="inlineStr">
        <is>
          <t>Tech Support &amp; Services</t>
        </is>
      </c>
      <c r="C287" s="3" t="n"/>
      <c r="D287" s="3" t="inlineStr">
        <is>
          <t>CURSOR, AI POWERED IDE</t>
        </is>
      </c>
      <c r="E287" s="3" t="n">
        <v>-113.27</v>
      </c>
      <c r="F287" s="3" t="inlineStr">
        <is>
          <t>Débito</t>
        </is>
      </c>
      <c r="G287" s="3" t="inlineStr">
        <is>
          <t>Software / Licença de Uso</t>
        </is>
      </c>
      <c r="H287" s="3" t="inlineStr">
        <is>
          <t>2025-08</t>
        </is>
      </c>
      <c r="I287" s="3" t="n"/>
      <c r="J287" s="3" t="n"/>
    </row>
    <row r="288">
      <c r="A288" s="6" t="n">
        <v>45877</v>
      </c>
      <c r="B288" s="3" t="inlineStr">
        <is>
          <t>Other Taxes</t>
        </is>
      </c>
      <c r="C288" s="3" t="n"/>
      <c r="D288" s="3" t="inlineStr">
        <is>
          <t>CURSOR USAGE  JUL</t>
        </is>
      </c>
      <c r="E288" s="3" t="n">
        <v>-2.14</v>
      </c>
      <c r="F288" s="3" t="inlineStr">
        <is>
          <t>Débito</t>
        </is>
      </c>
      <c r="G288" s="3" t="inlineStr">
        <is>
          <t>IOF</t>
        </is>
      </c>
      <c r="H288" s="3" t="inlineStr">
        <is>
          <t>2025-08</t>
        </is>
      </c>
      <c r="I288" s="3" t="n"/>
      <c r="J288" s="3" t="n"/>
    </row>
    <row r="289">
      <c r="A289" s="6" t="n">
        <v>45889</v>
      </c>
      <c r="B289" s="3" t="inlineStr">
        <is>
          <t>Other Taxes</t>
        </is>
      </c>
      <c r="C289" s="3" t="n"/>
      <c r="D289" s="3" t="inlineStr">
        <is>
          <t>DROPBOX DOCSEND</t>
        </is>
      </c>
      <c r="E289" s="3" t="n">
        <v>-2.97</v>
      </c>
      <c r="F289" s="3" t="inlineStr">
        <is>
          <t>Débito</t>
        </is>
      </c>
      <c r="G289" s="3" t="inlineStr">
        <is>
          <t>IOF</t>
        </is>
      </c>
      <c r="H289" s="3" t="inlineStr">
        <is>
          <t>2025-08</t>
        </is>
      </c>
      <c r="I289" s="3" t="n"/>
      <c r="J289" s="3" t="n"/>
    </row>
    <row r="290">
      <c r="A290" s="6" t="n">
        <v>45884</v>
      </c>
      <c r="B290" s="3" t="inlineStr">
        <is>
          <t>Other Taxes</t>
        </is>
      </c>
      <c r="C290" s="3" t="n"/>
      <c r="D290" s="3" t="inlineStr">
        <is>
          <t>CURSOR, AI POWERED IDE</t>
        </is>
      </c>
      <c r="E290" s="3" t="n">
        <v>-3.92</v>
      </c>
      <c r="F290" s="3" t="inlineStr">
        <is>
          <t>Débito</t>
        </is>
      </c>
      <c r="G290" s="3" t="inlineStr">
        <is>
          <t>IOF</t>
        </is>
      </c>
      <c r="H290" s="3" t="inlineStr">
        <is>
          <t>2025-08</t>
        </is>
      </c>
      <c r="I290" s="3" t="n"/>
      <c r="J290" s="3" t="n"/>
    </row>
    <row r="291">
      <c r="A291" s="6" t="n">
        <v>45889</v>
      </c>
      <c r="B291" s="3" t="inlineStr">
        <is>
          <t>Tech Support &amp; Services</t>
        </is>
      </c>
      <c r="C291" s="3" t="n"/>
      <c r="D291" s="3" t="inlineStr">
        <is>
          <t>DROPBOX DOCSEND</t>
        </is>
      </c>
      <c r="E291" s="3" t="n">
        <v>-84.94</v>
      </c>
      <c r="F291" s="3" t="inlineStr">
        <is>
          <t>Débito</t>
        </is>
      </c>
      <c r="G291" s="3" t="inlineStr">
        <is>
          <t>Software / Licença de Uso</t>
        </is>
      </c>
      <c r="H291" s="3" t="inlineStr">
        <is>
          <t>2025-08</t>
        </is>
      </c>
      <c r="I291" s="3" t="n"/>
      <c r="J291" s="3" t="n"/>
    </row>
    <row r="292">
      <c r="A292" s="6" t="n">
        <v>45884</v>
      </c>
      <c r="B292" s="3" t="inlineStr">
        <is>
          <t>Tech Support &amp; Services</t>
        </is>
      </c>
      <c r="C292" s="3" t="n"/>
      <c r="D292" s="3" t="inlineStr">
        <is>
          <t>CURSOR, AI POWERED IDE</t>
        </is>
      </c>
      <c r="E292" s="3" t="n">
        <v>-111.96</v>
      </c>
      <c r="F292" s="3" t="inlineStr">
        <is>
          <t>Débito</t>
        </is>
      </c>
      <c r="G292" s="3" t="inlineStr">
        <is>
          <t>Software / Licença de Uso</t>
        </is>
      </c>
      <c r="H292" s="3" t="inlineStr">
        <is>
          <t>2025-08</t>
        </is>
      </c>
      <c r="I292" s="3" t="n"/>
      <c r="J292" s="3" t="n"/>
    </row>
    <row r="293">
      <c r="A293" s="6" t="n">
        <v>45882</v>
      </c>
      <c r="B293" s="3" t="inlineStr">
        <is>
          <t>Marketing &amp; Growth Expenses</t>
        </is>
      </c>
      <c r="C293" s="3" t="n"/>
      <c r="D293" s="3" t="inlineStr">
        <is>
          <t>FACEBK *73W5ZWLAF2</t>
        </is>
      </c>
      <c r="E293" s="3" t="n">
        <v>-317.58</v>
      </c>
      <c r="F293" s="3" t="inlineStr">
        <is>
          <t>Débito</t>
        </is>
      </c>
      <c r="G293" s="3" t="inlineStr">
        <is>
          <t>Marketing e Publicidade - Sem NF</t>
        </is>
      </c>
      <c r="H293" s="3" t="inlineStr">
        <is>
          <t>2025-08</t>
        </is>
      </c>
      <c r="I293" s="3" t="n"/>
      <c r="J293" s="3" t="n"/>
    </row>
    <row r="294">
      <c r="A294" s="6" t="n">
        <v>45890</v>
      </c>
      <c r="B294" s="3" t="inlineStr">
        <is>
          <t>Other Taxes</t>
        </is>
      </c>
      <c r="C294" s="3" t="n"/>
      <c r="D294" s="3" t="inlineStr">
        <is>
          <t>CURSOR, AI POWERED IDE</t>
        </is>
      </c>
      <c r="E294" s="3" t="n">
        <v>-3.96</v>
      </c>
      <c r="F294" s="3" t="inlineStr">
        <is>
          <t>Débito</t>
        </is>
      </c>
      <c r="G294" s="3" t="inlineStr">
        <is>
          <t>IOF</t>
        </is>
      </c>
      <c r="H294" s="3" t="inlineStr">
        <is>
          <t>2025-08</t>
        </is>
      </c>
      <c r="I294" s="3" t="n"/>
      <c r="J294" s="3" t="n"/>
    </row>
    <row r="295">
      <c r="A295" s="6" t="n">
        <v>45900</v>
      </c>
      <c r="B295" s="3" t="inlineStr">
        <is>
          <t>Tech Support &amp; Services</t>
        </is>
      </c>
      <c r="C295" s="3" t="n"/>
      <c r="D295" s="3" t="inlineStr">
        <is>
          <t>VERCEL INC.</t>
        </is>
      </c>
      <c r="E295" s="3" t="n">
        <v>-112.01</v>
      </c>
      <c r="F295" s="3" t="inlineStr">
        <is>
          <t>Débito</t>
        </is>
      </c>
      <c r="G295" s="3" t="inlineStr">
        <is>
          <t>Software / Licença de Uso</t>
        </is>
      </c>
      <c r="H295" s="3" t="inlineStr">
        <is>
          <t>2025-08</t>
        </is>
      </c>
      <c r="I295" s="3" t="n"/>
      <c r="J295" s="3" t="n"/>
    </row>
    <row r="296">
      <c r="A296" s="6" t="n">
        <v>45887</v>
      </c>
      <c r="B296" s="3" t="inlineStr">
        <is>
          <t>Tech Support &amp; Services</t>
        </is>
      </c>
      <c r="C296" s="3" t="n"/>
      <c r="D296" s="3" t="inlineStr">
        <is>
          <t>FIGMA</t>
        </is>
      </c>
      <c r="E296" s="3" t="n">
        <v>-446.47</v>
      </c>
      <c r="F296" s="3" t="inlineStr">
        <is>
          <t>Débito</t>
        </is>
      </c>
      <c r="G296" s="3" t="inlineStr">
        <is>
          <t>Software / Licença de Uso</t>
        </is>
      </c>
      <c r="H296" s="3" t="inlineStr">
        <is>
          <t>2025-08</t>
        </is>
      </c>
      <c r="I296" s="3" t="n"/>
      <c r="J296" s="3" t="n"/>
    </row>
    <row r="297">
      <c r="A297" s="6" t="n">
        <v>45887</v>
      </c>
      <c r="B297" s="3" t="inlineStr">
        <is>
          <t>Other Taxes</t>
        </is>
      </c>
      <c r="C297" s="3" t="n"/>
      <c r="D297" s="3" t="inlineStr">
        <is>
          <t>FIGMA</t>
        </is>
      </c>
      <c r="E297" s="3" t="n">
        <v>-15.63</v>
      </c>
      <c r="F297" s="3" t="inlineStr">
        <is>
          <t>Débito</t>
        </is>
      </c>
      <c r="G297" s="3" t="inlineStr">
        <is>
          <t>IOF</t>
        </is>
      </c>
      <c r="H297" s="3" t="inlineStr">
        <is>
          <t>2025-08</t>
        </is>
      </c>
      <c r="I297" s="3" t="n"/>
      <c r="J297" s="3" t="n"/>
    </row>
    <row r="298">
      <c r="A298" s="6" t="n">
        <v>45900</v>
      </c>
      <c r="B298" s="3" t="inlineStr">
        <is>
          <t>Other Taxes</t>
        </is>
      </c>
      <c r="C298" s="3" t="n"/>
      <c r="D298" s="3" t="inlineStr">
        <is>
          <t>VERCEL INC.</t>
        </is>
      </c>
      <c r="E298" s="3" t="n">
        <v>-3.92</v>
      </c>
      <c r="F298" s="3" t="inlineStr">
        <is>
          <t>Débito</t>
        </is>
      </c>
      <c r="G298" s="3" t="inlineStr">
        <is>
          <t>IOF</t>
        </is>
      </c>
      <c r="H298" s="3" t="inlineStr">
        <is>
          <t>2025-08</t>
        </is>
      </c>
      <c r="I298" s="3" t="n"/>
      <c r="J298" s="3" t="n"/>
    </row>
    <row r="299">
      <c r="A299" s="6" t="n">
        <v>45885</v>
      </c>
      <c r="B299" s="3" t="inlineStr">
        <is>
          <t>Other Taxes</t>
        </is>
      </c>
      <c r="C299" s="3" t="n"/>
      <c r="D299" s="3" t="inlineStr">
        <is>
          <t>GITHUB, INC.</t>
        </is>
      </c>
      <c r="E299" s="3" t="n">
        <v>-16.65</v>
      </c>
      <c r="F299" s="3" t="inlineStr">
        <is>
          <t>Débito</t>
        </is>
      </c>
      <c r="G299" s="3" t="inlineStr">
        <is>
          <t>IOF</t>
        </is>
      </c>
      <c r="H299" s="3" t="inlineStr">
        <is>
          <t>2025-08</t>
        </is>
      </c>
      <c r="I299" s="3" t="n"/>
      <c r="J299" s="3" t="n"/>
    </row>
    <row r="300">
      <c r="A300" s="6" t="n">
        <v>45885</v>
      </c>
      <c r="B300" s="3" t="inlineStr">
        <is>
          <t>Tech Support &amp; Services</t>
        </is>
      </c>
      <c r="C300" s="3" t="n"/>
      <c r="D300" s="3" t="inlineStr">
        <is>
          <t>GITHUB, INC.</t>
        </is>
      </c>
      <c r="E300" s="3" t="n">
        <v>-475.85</v>
      </c>
      <c r="F300" s="3" t="inlineStr">
        <is>
          <t>Débito</t>
        </is>
      </c>
      <c r="G300" s="3" t="inlineStr">
        <is>
          <t>Software / Licença de Uso</t>
        </is>
      </c>
      <c r="H300" s="3" t="inlineStr">
        <is>
          <t>2025-08</t>
        </is>
      </c>
      <c r="I300" s="3" t="n"/>
      <c r="J300" s="3" t="n"/>
    </row>
    <row r="301">
      <c r="A301" s="6" t="n">
        <v>45901</v>
      </c>
      <c r="B301" s="3" t="inlineStr">
        <is>
          <t>Tech Support &amp; Services</t>
        </is>
      </c>
      <c r="C301" s="3" t="n"/>
      <c r="D301" s="3" t="inlineStr">
        <is>
          <t>GOOGLE GSUITE_UMATCH.COM.</t>
        </is>
      </c>
      <c r="E301" s="3" t="n">
        <v>-1470</v>
      </c>
      <c r="F301" s="3" t="inlineStr">
        <is>
          <t>Débito</t>
        </is>
      </c>
      <c r="G301" s="3" t="inlineStr">
        <is>
          <t>Software / Licença de Uso</t>
        </is>
      </c>
      <c r="H301" s="3" t="inlineStr">
        <is>
          <t>2025-09</t>
        </is>
      </c>
      <c r="I301" s="3" t="n"/>
      <c r="J301" s="3" t="n"/>
    </row>
    <row r="302">
      <c r="A302" s="6" t="n">
        <v>45890</v>
      </c>
      <c r="B302" s="3" t="inlineStr">
        <is>
          <t>Other Taxes</t>
        </is>
      </c>
      <c r="C302" s="3" t="n"/>
      <c r="D302" s="3" t="inlineStr">
        <is>
          <t>HOTEL AT BOOKING.COM</t>
        </is>
      </c>
      <c r="E302" s="3" t="n">
        <v>-132.85</v>
      </c>
      <c r="F302" s="3" t="inlineStr">
        <is>
          <t>Débito</t>
        </is>
      </c>
      <c r="G302" s="3" t="inlineStr">
        <is>
          <t>IOF</t>
        </is>
      </c>
      <c r="H302" s="3" t="inlineStr">
        <is>
          <t>2025-08</t>
        </is>
      </c>
      <c r="I302" s="3" t="n"/>
      <c r="J302" s="3" t="n"/>
    </row>
    <row r="303">
      <c r="A303" s="6" t="n">
        <v>45882</v>
      </c>
      <c r="B303" s="3" t="inlineStr">
        <is>
          <t>Tech Support &amp; Services</t>
        </is>
      </c>
      <c r="C303" s="3" t="n"/>
      <c r="D303" s="3" t="inlineStr">
        <is>
          <t>LINKEDIN</t>
        </is>
      </c>
      <c r="E303" s="3" t="n">
        <v>-739.99</v>
      </c>
      <c r="F303" s="3" t="inlineStr">
        <is>
          <t>Débito</t>
        </is>
      </c>
      <c r="G303" s="3" t="inlineStr">
        <is>
          <t>Software / Licença de Uso</t>
        </is>
      </c>
      <c r="H303" s="3" t="inlineStr">
        <is>
          <t>2025-08</t>
        </is>
      </c>
      <c r="I303" s="3" t="n"/>
      <c r="J303" s="3" t="n"/>
    </row>
    <row r="304">
      <c r="A304" s="6" t="n">
        <v>45900</v>
      </c>
      <c r="B304" s="3" t="inlineStr">
        <is>
          <t>Other Taxes</t>
        </is>
      </c>
      <c r="C304" s="3" t="n"/>
      <c r="D304" s="3" t="inlineStr">
        <is>
          <t>MANYCHAT.COM</t>
        </is>
      </c>
      <c r="E304" s="3" t="n">
        <v>-2.94</v>
      </c>
      <c r="F304" s="3" t="inlineStr">
        <is>
          <t>Débito</t>
        </is>
      </c>
      <c r="G304" s="3" t="inlineStr">
        <is>
          <t>IOF</t>
        </is>
      </c>
      <c r="H304" s="3" t="inlineStr">
        <is>
          <t>2025-08</t>
        </is>
      </c>
      <c r="I304" s="3" t="n"/>
      <c r="J304" s="3" t="n"/>
    </row>
    <row r="305">
      <c r="A305" s="6" t="n">
        <v>45881</v>
      </c>
      <c r="B305" s="3" t="inlineStr">
        <is>
          <t>Tech Support &amp; Services</t>
        </is>
      </c>
      <c r="C305" s="3" t="n"/>
      <c r="D305" s="3" t="inlineStr">
        <is>
          <t>LOTTIEFILES.COM</t>
        </is>
      </c>
      <c r="E305" s="3" t="n">
        <v>-1690.51</v>
      </c>
      <c r="F305" s="3" t="inlineStr">
        <is>
          <t>Débito</t>
        </is>
      </c>
      <c r="G305" s="3" t="inlineStr">
        <is>
          <t>Software / Licença de Uso</t>
        </is>
      </c>
      <c r="H305" s="3" t="inlineStr">
        <is>
          <t>2025-08</t>
        </is>
      </c>
      <c r="I305" s="3" t="n"/>
      <c r="J305" s="3" t="n"/>
    </row>
    <row r="306">
      <c r="A306" s="6" t="n">
        <v>45896</v>
      </c>
      <c r="B306" s="3" t="inlineStr">
        <is>
          <t>Other Taxes</t>
        </is>
      </c>
      <c r="C306" s="3" t="n"/>
      <c r="D306" s="3" t="inlineStr">
        <is>
          <t>OPENAI *CHATGPT SUBSCR</t>
        </is>
      </c>
      <c r="E306" s="3" t="n">
        <v>-3.93</v>
      </c>
      <c r="F306" s="3" t="inlineStr">
        <is>
          <t>Débito</t>
        </is>
      </c>
      <c r="G306" s="3" t="inlineStr">
        <is>
          <t>IOF</t>
        </is>
      </c>
      <c r="H306" s="3" t="inlineStr">
        <is>
          <t>2025-08</t>
        </is>
      </c>
      <c r="I306" s="3" t="n"/>
      <c r="J306" s="3" t="n"/>
    </row>
    <row r="307">
      <c r="A307" s="6" t="n">
        <v>45900</v>
      </c>
      <c r="B307" s="3" t="inlineStr">
        <is>
          <t>Tech Support &amp; Services</t>
        </is>
      </c>
      <c r="C307" s="3" t="n"/>
      <c r="D307" s="3" t="inlineStr">
        <is>
          <t>MANYCHAT.COM</t>
        </is>
      </c>
      <c r="E307" s="3" t="n">
        <v>-84</v>
      </c>
      <c r="F307" s="3" t="inlineStr">
        <is>
          <t>Débito</t>
        </is>
      </c>
      <c r="G307" s="3" t="inlineStr">
        <is>
          <t>Software / Licença de Uso</t>
        </is>
      </c>
      <c r="H307" s="3" t="inlineStr">
        <is>
          <t>2025-08</t>
        </is>
      </c>
      <c r="I307" s="3" t="n"/>
      <c r="J307" s="3" t="n"/>
    </row>
    <row r="308">
      <c r="A308" s="6" t="n">
        <v>45896</v>
      </c>
      <c r="B308" s="3" t="inlineStr">
        <is>
          <t>Tech Support &amp; Services</t>
        </is>
      </c>
      <c r="C308" s="3" t="n"/>
      <c r="D308" s="3" t="inlineStr">
        <is>
          <t>OPENAI *CHATGPT SUBSCR</t>
        </is>
      </c>
      <c r="E308" s="3" t="n">
        <v>-112.22</v>
      </c>
      <c r="F308" s="3" t="inlineStr">
        <is>
          <t>Débito</t>
        </is>
      </c>
      <c r="G308" s="3" t="inlineStr">
        <is>
          <t>Software / Licença de Uso</t>
        </is>
      </c>
      <c r="H308" s="3" t="inlineStr">
        <is>
          <t>2025-08</t>
        </is>
      </c>
      <c r="I308" s="3" t="n"/>
      <c r="J308" s="3" t="n"/>
    </row>
    <row r="309">
      <c r="A309" s="6" t="n">
        <v>45881</v>
      </c>
      <c r="B309" s="3" t="inlineStr">
        <is>
          <t>Other Taxes</t>
        </is>
      </c>
      <c r="C309" s="3" t="n"/>
      <c r="D309" s="3" t="inlineStr">
        <is>
          <t>LOTTIEFILES.COM</t>
        </is>
      </c>
      <c r="E309" s="3" t="n">
        <v>-59.17</v>
      </c>
      <c r="F309" s="3" t="inlineStr">
        <is>
          <t>Débito</t>
        </is>
      </c>
      <c r="G309" s="3" t="inlineStr">
        <is>
          <t>IOF</t>
        </is>
      </c>
      <c r="H309" s="3" t="inlineStr">
        <is>
          <t>2025-08</t>
        </is>
      </c>
      <c r="I309" s="3" t="n"/>
      <c r="J309" s="3" t="n"/>
    </row>
    <row r="310">
      <c r="A310" s="6" t="n">
        <v>45900</v>
      </c>
      <c r="B310" s="3" t="inlineStr">
        <is>
          <t>Web Services Expenses</t>
        </is>
      </c>
      <c r="C310" s="3" t="n"/>
      <c r="D310" s="3" t="inlineStr">
        <is>
          <t>PADDLE.NET* IAPHUB</t>
        </is>
      </c>
      <c r="E310" s="3" t="n">
        <v>-2274.36</v>
      </c>
      <c r="F310" s="3" t="inlineStr">
        <is>
          <t>Débito</t>
        </is>
      </c>
      <c r="G310" s="3" t="inlineStr">
        <is>
          <t>Software / Licença de Uso</t>
        </is>
      </c>
      <c r="H310" s="3" t="inlineStr">
        <is>
          <t>2025-08</t>
        </is>
      </c>
      <c r="I310" s="3" t="n"/>
      <c r="J310" s="3" t="n"/>
    </row>
    <row r="311">
      <c r="A311" s="6" t="n">
        <v>45900</v>
      </c>
      <c r="B311" s="3" t="inlineStr">
        <is>
          <t>Other Taxes</t>
        </is>
      </c>
      <c r="C311" s="3" t="n"/>
      <c r="D311" s="3" t="inlineStr">
        <is>
          <t>PADDLE.NET* IAPHUB</t>
        </is>
      </c>
      <c r="E311" s="3" t="n">
        <v>-79.59999999999999</v>
      </c>
      <c r="F311" s="3" t="inlineStr">
        <is>
          <t>Débito</t>
        </is>
      </c>
      <c r="G311" s="3" t="inlineStr">
        <is>
          <t>IOF</t>
        </is>
      </c>
      <c r="H311" s="3" t="inlineStr">
        <is>
          <t>2025-08</t>
        </is>
      </c>
      <c r="I311" s="3" t="n"/>
      <c r="J311" s="3" t="n"/>
    </row>
    <row r="312">
      <c r="A312" s="6" t="n">
        <v>45892</v>
      </c>
      <c r="B312" s="3" t="inlineStr">
        <is>
          <t>Web Services Expenses</t>
        </is>
      </c>
      <c r="C312" s="3" t="n"/>
      <c r="D312" s="3" t="inlineStr">
        <is>
          <t>PORTO SEGURO VIAGEM</t>
        </is>
      </c>
      <c r="E312" s="3" t="n">
        <v>-1380.62</v>
      </c>
      <c r="F312" s="3" t="inlineStr">
        <is>
          <t>Débito</t>
        </is>
      </c>
      <c r="G312" s="3" t="inlineStr">
        <is>
          <t>Software / Licença de Uso</t>
        </is>
      </c>
      <c r="H312" s="3" t="inlineStr">
        <is>
          <t>2025-08</t>
        </is>
      </c>
      <c r="I312" s="3" t="n"/>
      <c r="J312" s="3" t="n"/>
    </row>
    <row r="313">
      <c r="A313" s="6" t="n">
        <v>45885</v>
      </c>
      <c r="B313" s="3" t="inlineStr">
        <is>
          <t>Other Taxes</t>
        </is>
      </c>
      <c r="C313" s="3" t="n"/>
      <c r="D313" s="3" t="inlineStr">
        <is>
          <t>RACHELS ENGLISH</t>
        </is>
      </c>
      <c r="E313" s="3" t="n">
        <v>-78.18000000000001</v>
      </c>
      <c r="F313" s="3" t="inlineStr">
        <is>
          <t>Débito</t>
        </is>
      </c>
      <c r="G313" s="3" t="inlineStr">
        <is>
          <t>IOF</t>
        </is>
      </c>
      <c r="H313" s="3" t="inlineStr">
        <is>
          <t>2025-08</t>
        </is>
      </c>
      <c r="I313" s="3" t="n"/>
      <c r="J313" s="3" t="n"/>
    </row>
    <row r="314">
      <c r="A314" s="6" t="n">
        <v>45885</v>
      </c>
      <c r="B314" s="3" t="inlineStr">
        <is>
          <t>Web Services Expenses</t>
        </is>
      </c>
      <c r="C314" s="3" t="n"/>
      <c r="D314" s="3" t="inlineStr">
        <is>
          <t>RACHELS ENGLISH</t>
        </is>
      </c>
      <c r="E314" s="3" t="n">
        <v>-2233.68</v>
      </c>
      <c r="F314" s="3" t="inlineStr">
        <is>
          <t>Débito</t>
        </is>
      </c>
      <c r="G314" s="3" t="inlineStr">
        <is>
          <t>Software / Licença de Uso</t>
        </is>
      </c>
      <c r="H314" s="3" t="inlineStr">
        <is>
          <t>2025-08</t>
        </is>
      </c>
      <c r="I314" s="3" t="n"/>
      <c r="J314" s="3" t="n"/>
    </row>
    <row r="315">
      <c r="A315" s="6" t="n">
        <v>45885</v>
      </c>
      <c r="B315" s="3" t="inlineStr">
        <is>
          <t>Other Taxes</t>
        </is>
      </c>
      <c r="C315" s="3" t="n"/>
      <c r="D315" s="3" t="inlineStr">
        <is>
          <t>RACHELS ENGLISH</t>
        </is>
      </c>
      <c r="E315" s="3" t="n">
        <v>-29.39</v>
      </c>
      <c r="F315" s="3" t="inlineStr">
        <is>
          <t>Débito</t>
        </is>
      </c>
      <c r="G315" s="3" t="inlineStr">
        <is>
          <t>IOF</t>
        </is>
      </c>
      <c r="H315" s="3" t="inlineStr">
        <is>
          <t>2025-08</t>
        </is>
      </c>
      <c r="I315" s="3" t="n"/>
      <c r="J315" s="3" t="n"/>
    </row>
    <row r="316">
      <c r="A316" s="6" t="n">
        <v>45885</v>
      </c>
      <c r="B316" s="3" t="inlineStr">
        <is>
          <t>Web Services Expenses</t>
        </is>
      </c>
      <c r="C316" s="3" t="n"/>
      <c r="D316" s="3" t="inlineStr">
        <is>
          <t>RACHELS ENGLISH</t>
        </is>
      </c>
      <c r="E316" s="3" t="n">
        <v>-839.73</v>
      </c>
      <c r="F316" s="3" t="inlineStr">
        <is>
          <t>Débito</t>
        </is>
      </c>
      <c r="G316" s="3" t="inlineStr">
        <is>
          <t>Software / Licença de Uso</t>
        </is>
      </c>
      <c r="H316" s="3" t="inlineStr">
        <is>
          <t>2025-08</t>
        </is>
      </c>
      <c r="I316" s="3" t="n"/>
      <c r="J316" s="3" t="n"/>
    </row>
    <row r="317">
      <c r="A317" s="6" t="n">
        <v>45902</v>
      </c>
      <c r="B317" s="3" t="inlineStr">
        <is>
          <t>Other Taxes</t>
        </is>
      </c>
      <c r="C317" s="3" t="n"/>
      <c r="D317" s="3" t="inlineStr">
        <is>
          <t>SLACK T018U5Y5UTC</t>
        </is>
      </c>
      <c r="E317" s="3" t="n">
        <v>-2.13</v>
      </c>
      <c r="F317" s="3" t="inlineStr">
        <is>
          <t>Débito</t>
        </is>
      </c>
      <c r="G317" s="3" t="inlineStr">
        <is>
          <t>IOF</t>
        </is>
      </c>
      <c r="H317" s="3" t="inlineStr">
        <is>
          <t>2025-09</t>
        </is>
      </c>
      <c r="I317" s="3" t="n"/>
      <c r="J317" s="3" t="n"/>
    </row>
    <row r="318">
      <c r="A318" s="6" t="n">
        <v>45902</v>
      </c>
      <c r="B318" s="3" t="inlineStr">
        <is>
          <t>Tech Support &amp; Services</t>
        </is>
      </c>
      <c r="C318" s="3" t="n"/>
      <c r="D318" s="3" t="inlineStr">
        <is>
          <t>SLACK T018U5Y5UTC</t>
        </is>
      </c>
      <c r="E318" s="3" t="n">
        <v>-60.78</v>
      </c>
      <c r="F318" s="3" t="inlineStr">
        <is>
          <t>Débito</t>
        </is>
      </c>
      <c r="G318" s="3" t="inlineStr">
        <is>
          <t>Software / Licença de Uso</t>
        </is>
      </c>
      <c r="H318" s="3" t="inlineStr">
        <is>
          <t>2025-09</t>
        </is>
      </c>
      <c r="I318" s="3" t="n"/>
      <c r="J318" s="3" t="n"/>
    </row>
    <row r="319">
      <c r="A319" s="6" t="n">
        <v>45877</v>
      </c>
      <c r="B319" s="3" t="inlineStr">
        <is>
          <t>Other Taxes</t>
        </is>
      </c>
      <c r="C319" s="3" t="n"/>
      <c r="D319" s="3" t="inlineStr">
        <is>
          <t>SQSP* WORKSP#193391079</t>
        </is>
      </c>
      <c r="E319" s="3" t="n">
        <v>-3.58</v>
      </c>
      <c r="F319" s="3" t="inlineStr">
        <is>
          <t>Débito</t>
        </is>
      </c>
      <c r="G319" s="3" t="inlineStr">
        <is>
          <t>IOF</t>
        </is>
      </c>
      <c r="H319" s="3" t="inlineStr">
        <is>
          <t>2025-08</t>
        </is>
      </c>
      <c r="I319" s="3" t="n"/>
      <c r="J319" s="3" t="n"/>
    </row>
    <row r="320">
      <c r="A320" s="6" t="n">
        <v>45894</v>
      </c>
      <c r="B320" s="3" t="inlineStr">
        <is>
          <t>Other Taxes</t>
        </is>
      </c>
      <c r="C320" s="3" t="n"/>
      <c r="D320" s="3" t="inlineStr">
        <is>
          <t>SOLARWINDS</t>
        </is>
      </c>
      <c r="E320" s="3" t="n">
        <v>-2.76</v>
      </c>
      <c r="F320" s="3" t="inlineStr">
        <is>
          <t>Débito</t>
        </is>
      </c>
      <c r="G320" s="3" t="inlineStr">
        <is>
          <t>IOF</t>
        </is>
      </c>
      <c r="H320" s="3" t="inlineStr">
        <is>
          <t>2025-08</t>
        </is>
      </c>
      <c r="I320" s="3" t="n"/>
      <c r="J320" s="3" t="n"/>
    </row>
    <row r="321">
      <c r="A321" s="6" t="n">
        <v>45894</v>
      </c>
      <c r="B321" s="3" t="inlineStr">
        <is>
          <t>Web Services Expenses</t>
        </is>
      </c>
      <c r="C321" s="3" t="n"/>
      <c r="D321" s="3" t="inlineStr">
        <is>
          <t>SOLARWINDS</t>
        </is>
      </c>
      <c r="E321" s="3" t="n">
        <v>-78.81</v>
      </c>
      <c r="F321" s="3" t="inlineStr">
        <is>
          <t>Débito</t>
        </is>
      </c>
      <c r="G321" s="3" t="inlineStr">
        <is>
          <t>Software / Licença de Uso</t>
        </is>
      </c>
      <c r="H321" s="3" t="inlineStr">
        <is>
          <t>2025-08</t>
        </is>
      </c>
      <c r="I321" s="3" t="n"/>
      <c r="J321" s="3" t="n"/>
    </row>
    <row r="322">
      <c r="A322" s="6" t="n">
        <v>45879</v>
      </c>
      <c r="B322" s="3" t="inlineStr">
        <is>
          <t>Other Taxes</t>
        </is>
      </c>
      <c r="C322" s="3" t="n"/>
      <c r="D322" s="3" t="inlineStr">
        <is>
          <t>SUPERHUMAN</t>
        </is>
      </c>
      <c r="E322" s="3" t="n">
        <v>-7.92</v>
      </c>
      <c r="F322" s="3" t="inlineStr">
        <is>
          <t>Débito</t>
        </is>
      </c>
      <c r="G322" s="3" t="inlineStr">
        <is>
          <t>IOF</t>
        </is>
      </c>
      <c r="H322" s="3" t="inlineStr">
        <is>
          <t>2025-08</t>
        </is>
      </c>
      <c r="I322" s="3" t="n"/>
      <c r="J322" s="3" t="n"/>
    </row>
    <row r="323">
      <c r="A323" s="6" t="n">
        <v>45879</v>
      </c>
      <c r="B323" s="3" t="inlineStr">
        <is>
          <t>Tech Support &amp; Services</t>
        </is>
      </c>
      <c r="C323" s="3" t="n"/>
      <c r="D323" s="3" t="inlineStr">
        <is>
          <t>SUPERHUMAN</t>
        </is>
      </c>
      <c r="E323" s="3" t="n">
        <v>-226.18</v>
      </c>
      <c r="F323" s="3" t="inlineStr">
        <is>
          <t>Débito</t>
        </is>
      </c>
      <c r="G323" s="3" t="inlineStr">
        <is>
          <t>Software / Licença de Uso</t>
        </is>
      </c>
      <c r="H323" s="3" t="inlineStr">
        <is>
          <t>2025-08</t>
        </is>
      </c>
      <c r="I323" s="3" t="n"/>
      <c r="J323" s="3" t="n"/>
    </row>
    <row r="324">
      <c r="A324" s="6" t="n">
        <v>45877</v>
      </c>
      <c r="B324" s="3" t="inlineStr">
        <is>
          <t>Tech Support &amp; Services</t>
        </is>
      </c>
      <c r="C324" s="3" t="n"/>
      <c r="D324" s="3" t="inlineStr">
        <is>
          <t>SQSP* WORKSP#193391079</t>
        </is>
      </c>
      <c r="E324" s="3" t="n">
        <v>-102.34</v>
      </c>
      <c r="F324" s="3" t="inlineStr">
        <is>
          <t>Débito</t>
        </is>
      </c>
      <c r="G324" s="3" t="inlineStr">
        <is>
          <t>Software / Licença de Uso</t>
        </is>
      </c>
      <c r="H324" s="3" t="inlineStr">
        <is>
          <t>2025-08</t>
        </is>
      </c>
      <c r="I324" s="3" t="n"/>
      <c r="J324" s="3" t="n"/>
    </row>
    <row r="325">
      <c r="A325" s="6" t="n">
        <v>45901</v>
      </c>
      <c r="B325" s="3" t="inlineStr">
        <is>
          <t>Tech Support &amp; Services</t>
        </is>
      </c>
      <c r="C325" s="3" t="n"/>
      <c r="D325" s="3" t="inlineStr">
        <is>
          <t>TYPEFORM, S.L.</t>
        </is>
      </c>
      <c r="E325" s="3" t="n">
        <v>-555.95</v>
      </c>
      <c r="F325" s="3" t="inlineStr">
        <is>
          <t>Débito</t>
        </is>
      </c>
      <c r="G325" s="3" t="inlineStr">
        <is>
          <t>Software / Licença de Uso</t>
        </is>
      </c>
      <c r="H325" s="3" t="inlineStr">
        <is>
          <t>2025-09</t>
        </is>
      </c>
      <c r="I325" s="3" t="n"/>
      <c r="J325" s="3" t="n"/>
    </row>
    <row r="326">
      <c r="A326" s="6" t="n">
        <v>45901</v>
      </c>
      <c r="B326" s="3" t="inlineStr">
        <is>
          <t>Other Taxes</t>
        </is>
      </c>
      <c r="C326" s="3" t="n"/>
      <c r="D326" s="3" t="inlineStr">
        <is>
          <t>TYPEFORM, S.L.</t>
        </is>
      </c>
      <c r="E326" s="3" t="n">
        <v>-19.46</v>
      </c>
      <c r="F326" s="3" t="inlineStr">
        <is>
          <t>Débito</t>
        </is>
      </c>
      <c r="G326" s="3" t="inlineStr">
        <is>
          <t>IOF</t>
        </is>
      </c>
      <c r="H326" s="3" t="inlineStr">
        <is>
          <t>2025-09</t>
        </is>
      </c>
      <c r="I326" s="3" t="n"/>
      <c r="J326" s="3" t="n"/>
    </row>
    <row r="327">
      <c r="A327" s="6" t="n">
        <v>45907</v>
      </c>
      <c r="B327" s="3" t="inlineStr">
        <is>
          <t>Other Taxes</t>
        </is>
      </c>
      <c r="C327" s="3" t="n"/>
      <c r="D327" s="3" t="inlineStr">
        <is>
          <t>UBER   * EATS PENDING</t>
        </is>
      </c>
      <c r="E327" s="3" t="n">
        <v>-6.91</v>
      </c>
      <c r="F327" s="3" t="inlineStr">
        <is>
          <t>Débito</t>
        </is>
      </c>
      <c r="G327" s="3" t="inlineStr">
        <is>
          <t>IOF</t>
        </is>
      </c>
      <c r="H327" s="3" t="inlineStr">
        <is>
          <t>2025-09</t>
        </is>
      </c>
      <c r="I327" s="3" t="n"/>
      <c r="J327" s="3" t="n"/>
    </row>
    <row r="328">
      <c r="A328" s="6" t="n">
        <v>45907</v>
      </c>
      <c r="B328" s="3" t="inlineStr">
        <is>
          <t>Other Expenses</t>
        </is>
      </c>
      <c r="C328" s="3" t="n"/>
      <c r="D328" s="3" t="inlineStr">
        <is>
          <t>UBER   * EATS PENDING</t>
        </is>
      </c>
      <c r="E328" s="3" t="n">
        <v>-197.32</v>
      </c>
      <c r="F328" s="3" t="inlineStr">
        <is>
          <t>Débito</t>
        </is>
      </c>
      <c r="G328" s="3" t="inlineStr">
        <is>
          <t>Transporte Urbano (táxi, Uber)</t>
        </is>
      </c>
      <c r="H328" s="3" t="inlineStr">
        <is>
          <t>2025-09</t>
        </is>
      </c>
      <c r="I328" s="3" t="n"/>
      <c r="J328" s="3" t="n"/>
    </row>
    <row r="329">
      <c r="A329" s="6" t="n">
        <v>45894</v>
      </c>
      <c r="B329" s="3" t="inlineStr">
        <is>
          <t>Other Expenses</t>
        </is>
      </c>
      <c r="C329" s="3" t="n"/>
      <c r="D329" s="3" t="inlineStr">
        <is>
          <t>UBER   *TRIP</t>
        </is>
      </c>
      <c r="E329" s="3" t="n">
        <v>-192.24</v>
      </c>
      <c r="F329" s="3" t="inlineStr">
        <is>
          <t>Débito</t>
        </is>
      </c>
      <c r="G329" s="3" t="inlineStr">
        <is>
          <t>Transporte Urbano (táxi, Uber)</t>
        </is>
      </c>
      <c r="H329" s="3" t="inlineStr">
        <is>
          <t>2025-08</t>
        </is>
      </c>
      <c r="I329" s="3" t="n"/>
      <c r="J329" s="3" t="n"/>
    </row>
    <row r="330">
      <c r="A330" s="6" t="n">
        <v>45894</v>
      </c>
      <c r="B330" s="3" t="inlineStr">
        <is>
          <t>Other Taxes</t>
        </is>
      </c>
      <c r="C330" s="3" t="n"/>
      <c r="D330" s="3" t="inlineStr">
        <is>
          <t>UBER   *TRIP</t>
        </is>
      </c>
      <c r="E330" s="3" t="n">
        <v>-6.73</v>
      </c>
      <c r="F330" s="3" t="inlineStr">
        <is>
          <t>Débito</t>
        </is>
      </c>
      <c r="G330" s="3" t="inlineStr">
        <is>
          <t>IOF</t>
        </is>
      </c>
      <c r="H330" s="3" t="inlineStr">
        <is>
          <t>2025-08</t>
        </is>
      </c>
      <c r="I330" s="3" t="n"/>
      <c r="J330" s="3" t="n"/>
    </row>
    <row r="331">
      <c r="A331" s="6" t="n">
        <v>45895</v>
      </c>
      <c r="B331" s="3" t="inlineStr">
        <is>
          <t>Other Taxes</t>
        </is>
      </c>
      <c r="C331" s="3" t="n"/>
      <c r="D331" s="3" t="inlineStr">
        <is>
          <t>UBER   *TRIP</t>
        </is>
      </c>
      <c r="E331" s="3" t="n">
        <v>-7.44</v>
      </c>
      <c r="F331" s="3" t="inlineStr">
        <is>
          <t>Débito</t>
        </is>
      </c>
      <c r="G331" s="3" t="inlineStr">
        <is>
          <t>IOF</t>
        </is>
      </c>
      <c r="H331" s="3" t="inlineStr">
        <is>
          <t>2025-08</t>
        </is>
      </c>
      <c r="I331" s="3" t="n"/>
      <c r="J331" s="3" t="n"/>
    </row>
    <row r="332">
      <c r="A332" s="6" t="n">
        <v>45895</v>
      </c>
      <c r="B332" s="3" t="inlineStr">
        <is>
          <t>Other Expenses</t>
        </is>
      </c>
      <c r="C332" s="3" t="n"/>
      <c r="D332" s="3" t="inlineStr">
        <is>
          <t>UBER   *TRIP</t>
        </is>
      </c>
      <c r="E332" s="3" t="n">
        <v>-212.43</v>
      </c>
      <c r="F332" s="3" t="inlineStr">
        <is>
          <t>Débito</t>
        </is>
      </c>
      <c r="G332" s="3" t="inlineStr">
        <is>
          <t>Transporte Urbano (táxi, Uber)</t>
        </is>
      </c>
      <c r="H332" s="3" t="inlineStr">
        <is>
          <t>2025-08</t>
        </is>
      </c>
      <c r="I332" s="3" t="n"/>
      <c r="J332" s="3" t="n"/>
    </row>
    <row r="333">
      <c r="A333" s="6" t="n">
        <v>45900</v>
      </c>
      <c r="B333" s="3" t="inlineStr">
        <is>
          <t>Other Taxes</t>
        </is>
      </c>
      <c r="C333" s="3" t="n"/>
      <c r="D333" s="3" t="inlineStr">
        <is>
          <t>UBER   *TRIP</t>
        </is>
      </c>
      <c r="E333" s="3" t="n">
        <v>-4.27</v>
      </c>
      <c r="F333" s="3" t="inlineStr">
        <is>
          <t>Débito</t>
        </is>
      </c>
      <c r="G333" s="3" t="inlineStr">
        <is>
          <t>IOF</t>
        </is>
      </c>
      <c r="H333" s="3" t="inlineStr">
        <is>
          <t>2025-08</t>
        </is>
      </c>
      <c r="I333" s="3" t="n"/>
      <c r="J333" s="3" t="n"/>
    </row>
    <row r="334">
      <c r="A334" s="6" t="n">
        <v>45897</v>
      </c>
      <c r="B334" s="3" t="inlineStr">
        <is>
          <t>Other Taxes</t>
        </is>
      </c>
      <c r="C334" s="3" t="n"/>
      <c r="D334" s="3" t="inlineStr">
        <is>
          <t>UBER   *TRIP</t>
        </is>
      </c>
      <c r="E334" s="3" t="n">
        <v>-7.41</v>
      </c>
      <c r="F334" s="3" t="inlineStr">
        <is>
          <t>Débito</t>
        </is>
      </c>
      <c r="G334" s="3" t="inlineStr">
        <is>
          <t>IOF</t>
        </is>
      </c>
      <c r="H334" s="3" t="inlineStr">
        <is>
          <t>2025-08</t>
        </is>
      </c>
      <c r="I334" s="3" t="n"/>
      <c r="J334" s="3" t="n"/>
    </row>
    <row r="335">
      <c r="A335" s="6" t="n">
        <v>45901</v>
      </c>
      <c r="B335" s="3" t="inlineStr">
        <is>
          <t>Other Expenses</t>
        </is>
      </c>
      <c r="C335" s="3" t="n"/>
      <c r="D335" s="3" t="inlineStr">
        <is>
          <t>UBER   *TRIP</t>
        </is>
      </c>
      <c r="E335" s="3" t="n">
        <v>-659.6799999999999</v>
      </c>
      <c r="F335" s="3" t="inlineStr">
        <is>
          <t>Débito</t>
        </is>
      </c>
      <c r="G335" s="3" t="inlineStr">
        <is>
          <t>Transporte Urbano (táxi, Uber)</t>
        </is>
      </c>
      <c r="H335" s="3" t="inlineStr">
        <is>
          <t>2025-09</t>
        </is>
      </c>
      <c r="I335" s="3" t="n"/>
      <c r="J335" s="3" t="n"/>
    </row>
    <row r="336">
      <c r="A336" s="6" t="n">
        <v>45901</v>
      </c>
      <c r="B336" s="3" t="inlineStr">
        <is>
          <t>Other Taxes</t>
        </is>
      </c>
      <c r="C336" s="3" t="n"/>
      <c r="D336" s="3" t="inlineStr">
        <is>
          <t>UBER   *TRIP</t>
        </is>
      </c>
      <c r="E336" s="3" t="n">
        <v>-23.09</v>
      </c>
      <c r="F336" s="3" t="inlineStr">
        <is>
          <t>Débito</t>
        </is>
      </c>
      <c r="G336" s="3" t="inlineStr">
        <is>
          <t>IOF</t>
        </is>
      </c>
      <c r="H336" s="3" t="inlineStr">
        <is>
          <t>2025-09</t>
        </is>
      </c>
      <c r="I336" s="3" t="n"/>
      <c r="J336" s="3" t="n"/>
    </row>
    <row r="337">
      <c r="A337" s="6" t="n">
        <v>45897</v>
      </c>
      <c r="B337" s="3" t="inlineStr">
        <is>
          <t>Other Expenses</t>
        </is>
      </c>
      <c r="C337" s="3" t="n"/>
      <c r="D337" s="3" t="inlineStr">
        <is>
          <t>UBER   *TRIP</t>
        </is>
      </c>
      <c r="E337" s="3" t="n">
        <v>-211.64</v>
      </c>
      <c r="F337" s="3" t="inlineStr">
        <is>
          <t>Débito</t>
        </is>
      </c>
      <c r="G337" s="3" t="inlineStr">
        <is>
          <t>Transporte Urbano (táxi, Uber)</t>
        </is>
      </c>
      <c r="H337" s="3" t="inlineStr">
        <is>
          <t>2025-08</t>
        </is>
      </c>
      <c r="I337" s="3" t="n"/>
      <c r="J337" s="3" t="n"/>
    </row>
    <row r="338">
      <c r="A338" s="6" t="n">
        <v>45900</v>
      </c>
      <c r="B338" s="3" t="inlineStr">
        <is>
          <t>Other Expenses</t>
        </is>
      </c>
      <c r="C338" s="3" t="n"/>
      <c r="D338" s="3" t="inlineStr">
        <is>
          <t>UBER   *TRIP</t>
        </is>
      </c>
      <c r="E338" s="3" t="n">
        <v>-121.97</v>
      </c>
      <c r="F338" s="3" t="inlineStr">
        <is>
          <t>Débito</t>
        </is>
      </c>
      <c r="G338" s="3" t="inlineStr">
        <is>
          <t>Transporte Urbano (táxi, Uber)</t>
        </is>
      </c>
      <c r="H338" s="3" t="inlineStr">
        <is>
          <t>2025-08</t>
        </is>
      </c>
      <c r="I338" s="3" t="n"/>
      <c r="J338" s="3" t="n"/>
    </row>
    <row r="339">
      <c r="A339" s="6" t="n">
        <v>45903</v>
      </c>
      <c r="B339" s="3" t="inlineStr">
        <is>
          <t>Other Taxes</t>
        </is>
      </c>
      <c r="C339" s="3" t="n"/>
      <c r="D339" s="3" t="inlineStr">
        <is>
          <t>UBER   *TRIP</t>
        </is>
      </c>
      <c r="E339" s="3" t="n">
        <v>-9.630000000000001</v>
      </c>
      <c r="F339" s="3" t="inlineStr">
        <is>
          <t>Débito</t>
        </is>
      </c>
      <c r="G339" s="3" t="inlineStr">
        <is>
          <t>IOF</t>
        </is>
      </c>
      <c r="H339" s="3" t="inlineStr">
        <is>
          <t>2025-09</t>
        </is>
      </c>
      <c r="I339" s="3" t="n"/>
      <c r="J339" s="3" t="n"/>
    </row>
    <row r="340">
      <c r="A340" s="6" t="n">
        <v>45903</v>
      </c>
      <c r="B340" s="3" t="inlineStr">
        <is>
          <t>Other Expenses</t>
        </is>
      </c>
      <c r="C340" s="3" t="n"/>
      <c r="D340" s="3" t="inlineStr">
        <is>
          <t>UBER   *TRIP</t>
        </is>
      </c>
      <c r="E340" s="3" t="n">
        <v>-275.05</v>
      </c>
      <c r="F340" s="3" t="inlineStr">
        <is>
          <t>Débito</t>
        </is>
      </c>
      <c r="G340" s="3" t="inlineStr">
        <is>
          <t>Transporte Urbano (táxi, Uber)</t>
        </is>
      </c>
      <c r="H340" s="3" t="inlineStr">
        <is>
          <t>2025-09</t>
        </is>
      </c>
      <c r="I340" s="3" t="n"/>
      <c r="J340" s="3" t="n"/>
    </row>
    <row r="341">
      <c r="A341" s="6" t="n">
        <v>45903</v>
      </c>
      <c r="B341" s="3" t="inlineStr">
        <is>
          <t>Other Expenses</t>
        </is>
      </c>
      <c r="C341" s="3" t="n"/>
      <c r="D341" s="3" t="inlineStr">
        <is>
          <t>UBER   *TRIP</t>
        </is>
      </c>
      <c r="E341" s="3" t="n">
        <v>-286.44</v>
      </c>
      <c r="F341" s="3" t="inlineStr">
        <is>
          <t>Débito</t>
        </is>
      </c>
      <c r="G341" s="3" t="inlineStr">
        <is>
          <t>Transporte Urbano (táxi, Uber)</t>
        </is>
      </c>
      <c r="H341" s="3" t="inlineStr">
        <is>
          <t>2025-09</t>
        </is>
      </c>
      <c r="I341" s="3" t="n"/>
      <c r="J341" s="3" t="n"/>
    </row>
    <row r="342">
      <c r="A342" s="6" t="n">
        <v>45903</v>
      </c>
      <c r="B342" s="3" t="inlineStr">
        <is>
          <t>Other Taxes</t>
        </is>
      </c>
      <c r="C342" s="3" t="n"/>
      <c r="D342" s="3" t="inlineStr">
        <is>
          <t>UBER   *TRIP</t>
        </is>
      </c>
      <c r="E342" s="3" t="n">
        <v>-10.03</v>
      </c>
      <c r="F342" s="3" t="inlineStr">
        <is>
          <t>Débito</t>
        </is>
      </c>
      <c r="G342" s="3" t="inlineStr">
        <is>
          <t>IOF</t>
        </is>
      </c>
      <c r="H342" s="3" t="inlineStr">
        <is>
          <t>2025-09</t>
        </is>
      </c>
      <c r="I342" s="3" t="n"/>
      <c r="J342" s="3" t="n"/>
    </row>
    <row r="343">
      <c r="A343" s="6" t="n">
        <v>45907</v>
      </c>
      <c r="B343" s="3" t="inlineStr">
        <is>
          <t>Other Taxes</t>
        </is>
      </c>
      <c r="C343" s="3" t="n"/>
      <c r="D343" s="3" t="inlineStr">
        <is>
          <t>UBER   *TRIP</t>
        </is>
      </c>
      <c r="E343" s="3" t="n">
        <v>-7.78</v>
      </c>
      <c r="F343" s="3" t="inlineStr">
        <is>
          <t>Débito</t>
        </is>
      </c>
      <c r="G343" s="3" t="inlineStr">
        <is>
          <t>IOF</t>
        </is>
      </c>
      <c r="H343" s="3" t="inlineStr">
        <is>
          <t>2025-09</t>
        </is>
      </c>
      <c r="I343" s="3" t="n"/>
      <c r="J343" s="3" t="n"/>
    </row>
    <row r="344">
      <c r="A344" s="6" t="n">
        <v>45907</v>
      </c>
      <c r="B344" s="3" t="inlineStr">
        <is>
          <t>Other Expenses</t>
        </is>
      </c>
      <c r="C344" s="3" t="n"/>
      <c r="D344" s="3" t="inlineStr">
        <is>
          <t>UBER   *TRIP</t>
        </is>
      </c>
      <c r="E344" s="3" t="n">
        <v>-222.29</v>
      </c>
      <c r="F344" s="3" t="inlineStr">
        <is>
          <t>Débito</t>
        </is>
      </c>
      <c r="G344" s="3" t="inlineStr">
        <is>
          <t>Transporte Urbano (táxi, Uber)</t>
        </is>
      </c>
      <c r="H344" s="3" t="inlineStr">
        <is>
          <t>2025-09</t>
        </is>
      </c>
      <c r="I344" s="3" t="n"/>
      <c r="J344" s="3" t="n"/>
    </row>
    <row r="345">
      <c r="A345" s="6" t="n">
        <v>45882</v>
      </c>
      <c r="B345" s="3" t="inlineStr">
        <is>
          <t>Other Expenses</t>
        </is>
      </c>
      <c r="C345" s="3" t="n"/>
      <c r="D345" s="3" t="inlineStr">
        <is>
          <t>UBER * PENDING</t>
        </is>
      </c>
      <c r="E345" s="3" t="n">
        <v>-15.96</v>
      </c>
      <c r="F345" s="3" t="inlineStr">
        <is>
          <t>Débito</t>
        </is>
      </c>
      <c r="G345" s="3" t="inlineStr">
        <is>
          <t>Transporte Urbano (táxi, Uber)</t>
        </is>
      </c>
      <c r="H345" s="3" t="inlineStr">
        <is>
          <t>2025-08</t>
        </is>
      </c>
      <c r="I345" s="3" t="n"/>
      <c r="J345" s="3" t="n"/>
    </row>
    <row r="346">
      <c r="A346" s="6" t="n">
        <v>45882</v>
      </c>
      <c r="B346" s="3" t="inlineStr">
        <is>
          <t>Other Expenses</t>
        </is>
      </c>
      <c r="C346" s="3" t="n"/>
      <c r="D346" s="3" t="inlineStr">
        <is>
          <t>UBER * PENDING</t>
        </is>
      </c>
      <c r="E346" s="3" t="n">
        <v>-154.98</v>
      </c>
      <c r="F346" s="3" t="inlineStr">
        <is>
          <t>Débito</t>
        </is>
      </c>
      <c r="G346" s="3" t="inlineStr">
        <is>
          <t>Transporte Urbano (táxi, Uber)</t>
        </is>
      </c>
      <c r="H346" s="3" t="inlineStr">
        <is>
          <t>2025-08</t>
        </is>
      </c>
      <c r="I346" s="3" t="n"/>
      <c r="J346" s="3" t="n"/>
    </row>
    <row r="347">
      <c r="A347" s="6" t="n">
        <v>45892</v>
      </c>
      <c r="B347" s="3" t="inlineStr">
        <is>
          <t>Other Expenses</t>
        </is>
      </c>
      <c r="C347" s="3" t="n"/>
      <c r="D347" s="3" t="inlineStr">
        <is>
          <t>UBER * PENDING</t>
        </is>
      </c>
      <c r="E347" s="3" t="n">
        <v>-166.95</v>
      </c>
      <c r="F347" s="3" t="inlineStr">
        <is>
          <t>Débito</t>
        </is>
      </c>
      <c r="G347" s="3" t="inlineStr">
        <is>
          <t>Transporte Urbano (táxi, Uber)</t>
        </is>
      </c>
      <c r="H347" s="3" t="inlineStr">
        <is>
          <t>2025-08</t>
        </is>
      </c>
      <c r="I347" s="3" t="n"/>
      <c r="J347" s="3" t="n"/>
    </row>
    <row r="348">
      <c r="A348" s="6" t="n">
        <v>45890</v>
      </c>
      <c r="B348" s="3" t="inlineStr">
        <is>
          <t>Other Expenses</t>
        </is>
      </c>
      <c r="C348" s="3" t="n"/>
      <c r="D348" s="3" t="inlineStr">
        <is>
          <t>UBER * PENDING</t>
        </is>
      </c>
      <c r="E348" s="3" t="n">
        <v>-15.92</v>
      </c>
      <c r="F348" s="3" t="inlineStr">
        <is>
          <t>Débito</t>
        </is>
      </c>
      <c r="G348" s="3" t="inlineStr">
        <is>
          <t>Transporte Urbano (táxi, Uber)</t>
        </is>
      </c>
      <c r="H348" s="3" t="inlineStr">
        <is>
          <t>2025-08</t>
        </is>
      </c>
      <c r="I348" s="3" t="n"/>
      <c r="J348" s="3" t="n"/>
    </row>
    <row r="349">
      <c r="A349" s="6" t="n">
        <v>45891</v>
      </c>
      <c r="B349" s="3" t="inlineStr">
        <is>
          <t>Other Expenses</t>
        </is>
      </c>
      <c r="C349" s="3" t="n"/>
      <c r="D349" s="3" t="inlineStr">
        <is>
          <t>UBER * PENDING</t>
        </is>
      </c>
      <c r="E349" s="3" t="n">
        <v>-20.18</v>
      </c>
      <c r="F349" s="3" t="inlineStr">
        <is>
          <t>Débito</t>
        </is>
      </c>
      <c r="G349" s="3" t="inlineStr">
        <is>
          <t>Transporte Urbano (táxi, Uber)</t>
        </is>
      </c>
      <c r="H349" s="3" t="inlineStr">
        <is>
          <t>2025-08</t>
        </is>
      </c>
      <c r="I349" s="3" t="n"/>
      <c r="J349" s="3" t="n"/>
    </row>
    <row r="350">
      <c r="A350" s="6" t="n">
        <v>45906</v>
      </c>
      <c r="B350" s="3" t="inlineStr">
        <is>
          <t>Other Expenses</t>
        </is>
      </c>
      <c r="C350" s="3" t="n"/>
      <c r="D350" s="3" t="inlineStr">
        <is>
          <t>UBER * PENDING</t>
        </is>
      </c>
      <c r="E350" s="3" t="n">
        <v>-65.09999999999999</v>
      </c>
      <c r="F350" s="3" t="inlineStr">
        <is>
          <t>Débito</t>
        </is>
      </c>
      <c r="G350" s="3" t="inlineStr">
        <is>
          <t>Transporte Urbano (táxi, Uber)</t>
        </is>
      </c>
      <c r="H350" s="3" t="inlineStr">
        <is>
          <t>2025-09</t>
        </is>
      </c>
      <c r="I350" s="3" t="n"/>
      <c r="J350" s="3" t="n"/>
    </row>
    <row r="351">
      <c r="A351" s="6" t="n">
        <v>45892</v>
      </c>
      <c r="B351" s="3" t="inlineStr">
        <is>
          <t>Other Expenses</t>
        </is>
      </c>
      <c r="C351" s="3" t="n"/>
      <c r="D351" s="3" t="inlineStr">
        <is>
          <t>UBER *TRIP HELP.UBER.COM</t>
        </is>
      </c>
      <c r="E351" s="3" t="n">
        <v>-13.86</v>
      </c>
      <c r="F351" s="3" t="inlineStr">
        <is>
          <t>Débito</t>
        </is>
      </c>
      <c r="G351" s="3" t="inlineStr">
        <is>
          <t>Transporte Urbano (táxi, Uber)</t>
        </is>
      </c>
      <c r="H351" s="3" t="inlineStr">
        <is>
          <t>2025-08</t>
        </is>
      </c>
      <c r="I351" s="3" t="n"/>
      <c r="J351" s="3" t="n"/>
    </row>
    <row r="352">
      <c r="A352" s="6" t="n">
        <v>45891</v>
      </c>
      <c r="B352" s="3" t="inlineStr">
        <is>
          <t>Other Expenses</t>
        </is>
      </c>
      <c r="C352" s="3" t="n"/>
      <c r="D352" s="3" t="inlineStr">
        <is>
          <t>UBER *TRIP HELP.UBER.COM</t>
        </is>
      </c>
      <c r="E352" s="3" t="n">
        <v>-13.2</v>
      </c>
      <c r="F352" s="3" t="inlineStr">
        <is>
          <t>Débito</t>
        </is>
      </c>
      <c r="G352" s="3" t="inlineStr">
        <is>
          <t>Transporte Urbano (táxi, Uber)</t>
        </is>
      </c>
      <c r="H352" s="3" t="inlineStr">
        <is>
          <t>2025-08</t>
        </is>
      </c>
      <c r="I352" s="3" t="n"/>
      <c r="J352" s="3" t="n"/>
    </row>
    <row r="353">
      <c r="A353" s="6" t="n">
        <v>45877</v>
      </c>
      <c r="B353" s="3" t="inlineStr">
        <is>
          <t>Other Expenses</t>
        </is>
      </c>
      <c r="C353" s="3" t="n"/>
      <c r="D353" s="3" t="inlineStr">
        <is>
          <t>UBER* PENDING</t>
        </is>
      </c>
      <c r="E353" s="3" t="n">
        <v>-8.99</v>
      </c>
      <c r="F353" s="3" t="inlineStr">
        <is>
          <t>Débito</t>
        </is>
      </c>
      <c r="G353" s="3" t="inlineStr">
        <is>
          <t>Transporte Urbano (táxi, Uber)</t>
        </is>
      </c>
      <c r="H353" s="3" t="inlineStr">
        <is>
          <t>2025-08</t>
        </is>
      </c>
      <c r="I353" s="3" t="n"/>
      <c r="J353" s="3" t="n"/>
    </row>
    <row r="354">
      <c r="A354" s="6" t="n">
        <v>45882</v>
      </c>
      <c r="B354" s="3" t="inlineStr">
        <is>
          <t>Other Expenses</t>
        </is>
      </c>
      <c r="C354" s="3" t="n"/>
      <c r="D354" s="3" t="inlineStr">
        <is>
          <t>UBER* PENDING</t>
        </is>
      </c>
      <c r="E354" s="3" t="n">
        <v>-40.16</v>
      </c>
      <c r="F354" s="3" t="inlineStr">
        <is>
          <t>Débito</t>
        </is>
      </c>
      <c r="G354" s="3" t="inlineStr">
        <is>
          <t>Transporte Urbano (táxi, Uber)</t>
        </is>
      </c>
      <c r="H354" s="3" t="inlineStr">
        <is>
          <t>2025-08</t>
        </is>
      </c>
      <c r="I354" s="3" t="n"/>
      <c r="J354" s="3" t="n"/>
    </row>
    <row r="355">
      <c r="A355" s="6" t="n">
        <v>45891</v>
      </c>
      <c r="B355" s="3" t="inlineStr">
        <is>
          <t>Other Expenses</t>
        </is>
      </c>
      <c r="C355" s="3" t="n"/>
      <c r="D355" s="3" t="inlineStr">
        <is>
          <t>UBER* PENDING</t>
        </is>
      </c>
      <c r="E355" s="3" t="n">
        <v>-19.09</v>
      </c>
      <c r="F355" s="3" t="inlineStr">
        <is>
          <t>Débito</t>
        </is>
      </c>
      <c r="G355" s="3" t="inlineStr">
        <is>
          <t>Transporte Urbano (táxi, Uber)</t>
        </is>
      </c>
      <c r="H355" s="3" t="inlineStr">
        <is>
          <t>2025-08</t>
        </is>
      </c>
      <c r="I355" s="3" t="n"/>
      <c r="J355" s="3" t="n"/>
    </row>
    <row r="356">
      <c r="A356" s="6" t="n">
        <v>45877</v>
      </c>
      <c r="B356" s="3" t="inlineStr">
        <is>
          <t>Other Expenses</t>
        </is>
      </c>
      <c r="C356" s="3" t="n"/>
      <c r="D356" s="3" t="inlineStr">
        <is>
          <t>UBER* TRIP</t>
        </is>
      </c>
      <c r="E356" s="3" t="n">
        <v>-5.25</v>
      </c>
      <c r="F356" s="3" t="inlineStr">
        <is>
          <t>Débito</t>
        </is>
      </c>
      <c r="G356" s="3" t="inlineStr">
        <is>
          <t>Transporte Urbano (táxi, Uber)</t>
        </is>
      </c>
      <c r="H356" s="3" t="inlineStr">
        <is>
          <t>2025-08</t>
        </is>
      </c>
      <c r="I356" s="3" t="n"/>
      <c r="J356" s="3" t="n"/>
    </row>
    <row r="357">
      <c r="A357" s="6" t="n">
        <v>45899</v>
      </c>
      <c r="B357" s="3" t="inlineStr">
        <is>
          <t>Other Expenses</t>
        </is>
      </c>
      <c r="C357" s="3" t="n"/>
      <c r="D357" s="3" t="inlineStr">
        <is>
          <t>UBR* PENDING.UBER.COM</t>
        </is>
      </c>
      <c r="E357" s="3" t="n">
        <v>-122.81</v>
      </c>
      <c r="F357" s="3" t="inlineStr">
        <is>
          <t>Débito</t>
        </is>
      </c>
      <c r="G357" s="3" t="inlineStr">
        <is>
          <t>Transporte Urbano (táxi, Uber)</t>
        </is>
      </c>
      <c r="H357" s="3" t="inlineStr">
        <is>
          <t>2025-08</t>
        </is>
      </c>
      <c r="I357" s="3" t="n"/>
      <c r="J357" s="3" t="n"/>
    </row>
    <row r="358">
      <c r="A358" s="6" t="n">
        <v>45899</v>
      </c>
      <c r="B358" s="3" t="inlineStr">
        <is>
          <t>Other Taxes</t>
        </is>
      </c>
      <c r="C358" s="3" t="n"/>
      <c r="D358" s="3" t="inlineStr">
        <is>
          <t>UBR* PENDING.UBER.COM</t>
        </is>
      </c>
      <c r="E358" s="3" t="n">
        <v>-4.3</v>
      </c>
      <c r="F358" s="3" t="inlineStr">
        <is>
          <t>Débito</t>
        </is>
      </c>
      <c r="G358" s="3" t="inlineStr">
        <is>
          <t>IOF</t>
        </is>
      </c>
      <c r="H358" s="3" t="inlineStr">
        <is>
          <t>2025-08</t>
        </is>
      </c>
      <c r="I358" s="3" t="n"/>
      <c r="J358" s="3" t="n"/>
    </row>
    <row r="359">
      <c r="A359" s="6" t="n">
        <v>45896</v>
      </c>
      <c r="B359" s="3" t="inlineStr">
        <is>
          <t>Other Expenses</t>
        </is>
      </c>
      <c r="C359" s="3" t="n"/>
      <c r="D359" s="3" t="inlineStr">
        <is>
          <t>US MOBILE</t>
        </is>
      </c>
      <c r="E359" s="3" t="n">
        <v>-246.88</v>
      </c>
      <c r="F359" s="3" t="inlineStr">
        <is>
          <t>Débito</t>
        </is>
      </c>
      <c r="G359" s="3" t="inlineStr">
        <is>
          <t>Transporte Urbano (táxi, Uber)</t>
        </is>
      </c>
      <c r="H359" s="3" t="inlineStr">
        <is>
          <t>2025-08</t>
        </is>
      </c>
      <c r="I359" s="3" t="n"/>
      <c r="J359" s="3" t="n"/>
    </row>
    <row r="360">
      <c r="A360" s="6" t="n">
        <v>45896</v>
      </c>
      <c r="B360" s="3" t="inlineStr">
        <is>
          <t>Other Taxes</t>
        </is>
      </c>
      <c r="C360" s="3" t="n"/>
      <c r="D360" s="3" t="inlineStr">
        <is>
          <t>US MOBILE</t>
        </is>
      </c>
      <c r="E360" s="3" t="n">
        <v>-8.640000000000001</v>
      </c>
      <c r="F360" s="3" t="inlineStr">
        <is>
          <t>Débito</t>
        </is>
      </c>
      <c r="G360" s="3" t="inlineStr">
        <is>
          <t>IOF</t>
        </is>
      </c>
      <c r="H360" s="3" t="inlineStr">
        <is>
          <t>2025-08</t>
        </is>
      </c>
      <c r="I360" s="3" t="n"/>
      <c r="J360" s="3" t="n"/>
    </row>
    <row r="361">
      <c r="A361" s="6" t="n">
        <v>45882</v>
      </c>
      <c r="B361" s="3" t="inlineStr">
        <is>
          <t>Other Taxes</t>
        </is>
      </c>
      <c r="C361" s="3" t="n"/>
      <c r="D361" s="3" t="inlineStr">
        <is>
          <t>VERCEL INC.</t>
        </is>
      </c>
      <c r="E361" s="3" t="n">
        <v>-3.92</v>
      </c>
      <c r="F361" s="3" t="inlineStr">
        <is>
          <t>Débito</t>
        </is>
      </c>
      <c r="G361" s="3" t="inlineStr">
        <is>
          <t>IOF</t>
        </is>
      </c>
      <c r="H361" s="3" t="inlineStr">
        <is>
          <t>2025-08</t>
        </is>
      </c>
      <c r="I361" s="3" t="n"/>
      <c r="J361" s="3" t="n"/>
    </row>
    <row r="362">
      <c r="A362" s="6" t="n">
        <v>45882</v>
      </c>
      <c r="B362" s="3" t="inlineStr">
        <is>
          <t>Tech Support &amp; Services</t>
        </is>
      </c>
      <c r="C362" s="3" t="n"/>
      <c r="D362" s="3" t="inlineStr">
        <is>
          <t>VERCEL INC.</t>
        </is>
      </c>
      <c r="E362" s="3" t="n">
        <v>-111.88</v>
      </c>
      <c r="F362" s="3" t="inlineStr">
        <is>
          <t>Débito</t>
        </is>
      </c>
      <c r="G362" s="3" t="inlineStr">
        <is>
          <t>Software / Licença de Uso</t>
        </is>
      </c>
      <c r="H362" s="3" t="inlineStr">
        <is>
          <t>2025-08</t>
        </is>
      </c>
      <c r="I362" s="3" t="n"/>
      <c r="J362" s="3" t="n"/>
    </row>
    <row r="363">
      <c r="A363" s="6" t="n">
        <v>45890</v>
      </c>
      <c r="B363" s="3" t="inlineStr">
        <is>
          <t>web Services Expenses</t>
        </is>
      </c>
      <c r="C363" s="3" t="n"/>
      <c r="D363" s="3" t="inlineStr">
        <is>
          <t>HOTEL AT BOOKING.COM</t>
        </is>
      </c>
      <c r="E363" s="3" t="n">
        <v>-3795.62</v>
      </c>
      <c r="F363" s="3" t="inlineStr">
        <is>
          <t>Débito</t>
        </is>
      </c>
      <c r="G363" s="3" t="inlineStr">
        <is>
          <t>Software / Licença de Uso</t>
        </is>
      </c>
      <c r="H363" s="3" t="inlineStr">
        <is>
          <t>2025-08</t>
        </is>
      </c>
      <c r="I363" s="3" t="n"/>
      <c r="J363" s="3" t="n"/>
    </row>
    <row r="364">
      <c r="A364" s="6" t="n">
        <v>45913</v>
      </c>
      <c r="B364" s="3" t="inlineStr">
        <is>
          <t>Rendimentos de Aplicações</t>
        </is>
      </c>
      <c r="C364" s="3" t="inlineStr">
        <is>
          <t>CONTA SIMPLES</t>
        </is>
      </c>
      <c r="D364" s="3" t="inlineStr">
        <is>
          <t>Rentabilidade CDI - Remuneração-Cta Pgto</t>
        </is>
      </c>
      <c r="E364" s="3" t="n">
        <v>36.44</v>
      </c>
      <c r="F364" s="3" t="inlineStr">
        <is>
          <t>Crédito</t>
        </is>
      </c>
      <c r="G364" s="3" t="inlineStr">
        <is>
          <t>Rendimentos de Aplicações</t>
        </is>
      </c>
      <c r="H364" s="3" t="inlineStr">
        <is>
          <t>2025-09</t>
        </is>
      </c>
      <c r="I364" s="3" t="n"/>
      <c r="J364" s="3" t="n"/>
    </row>
    <row r="365">
      <c r="A365" s="6" t="n">
        <v>45914</v>
      </c>
      <c r="B365" s="3" t="inlineStr">
        <is>
          <t>Rendimentos de Aplicações</t>
        </is>
      </c>
      <c r="C365" s="3" t="inlineStr">
        <is>
          <t>CONTA SIMPLES</t>
        </is>
      </c>
      <c r="D365" s="3" t="inlineStr">
        <is>
          <t>Rentabilidade CDI - Remuneração-Cta Pgto</t>
        </is>
      </c>
      <c r="E365" s="3" t="n">
        <v>16.79</v>
      </c>
      <c r="F365" s="3" t="inlineStr">
        <is>
          <t>Crédito</t>
        </is>
      </c>
      <c r="G365" s="3" t="inlineStr">
        <is>
          <t>Rendimentos de Aplicações</t>
        </is>
      </c>
      <c r="H365" s="3" t="inlineStr">
        <is>
          <t>2025-09</t>
        </is>
      </c>
      <c r="I365" s="3" t="n"/>
      <c r="J365" s="3" t="n"/>
    </row>
    <row r="366">
      <c r="A366" s="6" t="n">
        <v>45915</v>
      </c>
      <c r="B366" s="3" t="n"/>
      <c r="C366" s="3" t="n"/>
      <c r="D366" s="3" t="inlineStr">
        <is>
          <t>Transferência de limite - Deposito de limite 2025-09-15T11:37:21.134Z</t>
        </is>
      </c>
      <c r="E366" s="3" t="n">
        <v>38014.04</v>
      </c>
      <c r="F366" s="3" t="inlineStr">
        <is>
          <t>Crédito</t>
        </is>
      </c>
      <c r="G366" s="3" t="inlineStr">
        <is>
          <t>Transferência de Entrada</t>
        </is>
      </c>
      <c r="H366" s="3" t="inlineStr">
        <is>
          <t>2025-09</t>
        </is>
      </c>
      <c r="I366" s="3" t="n"/>
      <c r="J366" s="3" t="n"/>
    </row>
    <row r="367">
      <c r="A367" s="6" t="n">
        <v>45870</v>
      </c>
      <c r="B367" s="3" t="inlineStr">
        <is>
          <t>Wages Expenses</t>
        </is>
      </c>
      <c r="C367" s="3" t="inlineStr">
        <is>
          <t>VITORIA DE OLIVEIRA FERREIRA CORREA</t>
        </is>
      </c>
      <c r="D367" s="3" t="inlineStr">
        <is>
          <t>NF  06 - SERVIÇOS PRESTADOS</t>
        </is>
      </c>
      <c r="E367" s="3" t="n">
        <v>-12000</v>
      </c>
      <c r="F367" s="3" t="inlineStr">
        <is>
          <t>Débito</t>
        </is>
      </c>
      <c r="G367" s="3" t="inlineStr">
        <is>
          <t>Prestador de Serviço PJ (Com NF)</t>
        </is>
      </c>
      <c r="H367" s="3" t="inlineStr">
        <is>
          <t>2025-08</t>
        </is>
      </c>
      <c r="I367" s="3" t="n"/>
      <c r="J367" s="3" t="n"/>
    </row>
    <row r="368">
      <c r="A368" s="6" t="n">
        <v>45870</v>
      </c>
      <c r="B368" s="3" t="inlineStr">
        <is>
          <t>Wages Expenses</t>
        </is>
      </c>
      <c r="C368" s="3" t="inlineStr">
        <is>
          <t>JONAS JERONIMO CHAVES DE SOUSA</t>
        </is>
      </c>
      <c r="D368" s="3" t="inlineStr">
        <is>
          <t>NF  12 - SERVIÇOS PRESTADOS - TÉRMINO DO CONTRATO</t>
        </is>
      </c>
      <c r="E368" s="3" t="n">
        <v>-7741.94</v>
      </c>
      <c r="F368" s="3" t="inlineStr">
        <is>
          <t>Débito</t>
        </is>
      </c>
      <c r="G368" s="3" t="inlineStr">
        <is>
          <t>Prestador de Serviço PJ (Com NF)</t>
        </is>
      </c>
      <c r="H368" s="3" t="inlineStr">
        <is>
          <t>2025-08</t>
        </is>
      </c>
      <c r="I368" s="3" t="n"/>
      <c r="J368" s="3" t="n"/>
    </row>
    <row r="369">
      <c r="A369" s="6" t="n">
        <v>45870</v>
      </c>
      <c r="B369" s="3" t="inlineStr">
        <is>
          <t>Wages Expenses</t>
        </is>
      </c>
      <c r="C369" s="3" t="inlineStr">
        <is>
          <t>BEATRIZ MATHIDIOS DE OLIVEIRA</t>
        </is>
      </c>
      <c r="D369" s="3" t="inlineStr">
        <is>
          <t>NF 08 - SERVIÇOS PRESTADOS</t>
        </is>
      </c>
      <c r="E369" s="3" t="n">
        <v>-4500</v>
      </c>
      <c r="F369" s="3" t="inlineStr">
        <is>
          <t>Débito</t>
        </is>
      </c>
      <c r="G369" s="3" t="inlineStr">
        <is>
          <t>Prestador de Serviço PJ (Com NF)</t>
        </is>
      </c>
      <c r="H369" s="3" t="inlineStr">
        <is>
          <t>2025-08</t>
        </is>
      </c>
      <c r="I369" s="3" t="n"/>
      <c r="J369" s="3" t="n"/>
    </row>
    <row r="370">
      <c r="A370" s="6" t="n">
        <v>45870</v>
      </c>
      <c r="B370" s="3" t="inlineStr">
        <is>
          <t>Wages Expenses</t>
        </is>
      </c>
      <c r="C370" s="3" t="inlineStr">
        <is>
          <t>MARCO ANTONIO PEREIRA DO ESPIRITO SANTO</t>
        </is>
      </c>
      <c r="D370" s="3" t="inlineStr">
        <is>
          <t>NF 23 - SERVIÇOS PRESTADOS</t>
        </is>
      </c>
      <c r="E370" s="3" t="n">
        <v>-3792</v>
      </c>
      <c r="F370" s="3" t="inlineStr">
        <is>
          <t>Débito</t>
        </is>
      </c>
      <c r="G370" s="3" t="inlineStr">
        <is>
          <t>Prestador de Serviço PJ (Com NF)</t>
        </is>
      </c>
      <c r="H370" s="3" t="inlineStr">
        <is>
          <t>2025-08</t>
        </is>
      </c>
      <c r="I370" s="3" t="n"/>
      <c r="J370" s="3" t="n"/>
    </row>
    <row r="371">
      <c r="A371" s="6" t="n">
        <v>45870</v>
      </c>
      <c r="B371" s="3" t="inlineStr">
        <is>
          <t>Wages Expenses</t>
        </is>
      </c>
      <c r="C371" s="3" t="inlineStr">
        <is>
          <t>MANASSES QUEIROZ SILVA</t>
        </is>
      </c>
      <c r="D371" s="3" t="inlineStr">
        <is>
          <t>NF  07 - SERVIÇOS PRESTADOS</t>
        </is>
      </c>
      <c r="E371" s="3" t="n">
        <v>-3473.67</v>
      </c>
      <c r="F371" s="3" t="inlineStr">
        <is>
          <t>Débito</t>
        </is>
      </c>
      <c r="G371" s="3" t="inlineStr">
        <is>
          <t>Prestador de Serviço PJ (Com NF)</t>
        </is>
      </c>
      <c r="H371" s="3" t="inlineStr">
        <is>
          <t>2025-08</t>
        </is>
      </c>
      <c r="I371" s="3" t="n"/>
      <c r="J371" s="3" t="n"/>
    </row>
    <row r="372">
      <c r="A372" s="6" t="n">
        <v>45870</v>
      </c>
      <c r="B372" s="3" t="inlineStr">
        <is>
          <t>Wages Expenses</t>
        </is>
      </c>
      <c r="C372" s="3" t="inlineStr">
        <is>
          <t>NUVATE (FILIPI RAFAEL)</t>
        </is>
      </c>
      <c r="D372" s="3" t="inlineStr">
        <is>
          <t>NF  14 - SERVIÇOS PRESTADOS</t>
        </is>
      </c>
      <c r="E372" s="3" t="n">
        <v>-9000</v>
      </c>
      <c r="F372" s="3" t="inlineStr">
        <is>
          <t>Débito</t>
        </is>
      </c>
      <c r="G372" s="3" t="inlineStr">
        <is>
          <t>Prestador de Serviço PJ (Com NF)</t>
        </is>
      </c>
      <c r="H372" s="3" t="inlineStr">
        <is>
          <t>2025-08</t>
        </is>
      </c>
      <c r="I372" s="3" t="n"/>
      <c r="J372" s="3" t="n"/>
    </row>
    <row r="373">
      <c r="A373" s="6" t="n">
        <v>45870</v>
      </c>
      <c r="B373" s="3" t="inlineStr">
        <is>
          <t>Wages Expenses</t>
        </is>
      </c>
      <c r="C373" s="3" t="inlineStr">
        <is>
          <t>GABRIEL CANTARIN SIMOES</t>
        </is>
      </c>
      <c r="D373" s="3" t="inlineStr">
        <is>
          <t>NF 02 - SERVIÇOS PRESTADOS</t>
        </is>
      </c>
      <c r="E373" s="3" t="n">
        <v>-20000</v>
      </c>
      <c r="F373" s="3" t="inlineStr">
        <is>
          <t>Débito</t>
        </is>
      </c>
      <c r="G373" s="3" t="inlineStr">
        <is>
          <t>Prestador de Serviço PJ (Com NF)</t>
        </is>
      </c>
      <c r="H373" s="3" t="inlineStr">
        <is>
          <t>2025-08</t>
        </is>
      </c>
      <c r="I373" s="3" t="n"/>
      <c r="J373" s="3" t="n"/>
    </row>
    <row r="374">
      <c r="A374" s="6" t="n">
        <v>45870</v>
      </c>
      <c r="B374" s="3" t="inlineStr">
        <is>
          <t>Wages Expenses</t>
        </is>
      </c>
      <c r="C374" s="3" t="inlineStr">
        <is>
          <t>PEDRO GERMANO</t>
        </is>
      </c>
      <c r="D374" s="3" t="inlineStr">
        <is>
          <t>NFS 00000016 - Serviços Administrativos - 08/2025</t>
        </is>
      </c>
      <c r="E374" s="3" t="n">
        <v>-5785.71</v>
      </c>
      <c r="F374" s="3" t="inlineStr">
        <is>
          <t>Débito</t>
        </is>
      </c>
      <c r="G374" s="3" t="inlineStr">
        <is>
          <t>Prestador de Serviço PJ (Com NF)</t>
        </is>
      </c>
      <c r="H374" s="3" t="inlineStr">
        <is>
          <t>2025-08</t>
        </is>
      </c>
      <c r="I374" s="3" t="n"/>
      <c r="J374" s="3" t="n"/>
    </row>
    <row r="375">
      <c r="A375" s="6" t="n">
        <v>45870</v>
      </c>
      <c r="B375" s="3" t="inlineStr">
        <is>
          <t>Wages Expenses</t>
        </is>
      </c>
      <c r="C375" s="3" t="inlineStr">
        <is>
          <t>Bruno Adami Serine</t>
        </is>
      </c>
      <c r="D375" s="3" t="inlineStr">
        <is>
          <t>ANTECIPAÇÃO DE LUCROS</t>
        </is>
      </c>
      <c r="E375" s="3" t="n">
        <v>-13743.32</v>
      </c>
      <c r="F375" s="3" t="inlineStr">
        <is>
          <t>Débito</t>
        </is>
      </c>
      <c r="G375" s="3" t="inlineStr">
        <is>
          <t>Antecipação de Lucros</t>
        </is>
      </c>
      <c r="H375" s="3" t="inlineStr">
        <is>
          <t>2025-08</t>
        </is>
      </c>
      <c r="I375" s="3" t="n"/>
      <c r="J375" s="3" t="n"/>
    </row>
    <row r="376">
      <c r="A376" s="6" t="n">
        <v>45870</v>
      </c>
      <c r="B376" s="3" t="inlineStr">
        <is>
          <t>Wages Expenses</t>
        </is>
      </c>
      <c r="C376" s="3" t="inlineStr">
        <is>
          <t>Bruno Adami Serine</t>
        </is>
      </c>
      <c r="D376" s="3" t="inlineStr">
        <is>
          <t xml:space="preserve">PRÓ LABORE </t>
        </is>
      </c>
      <c r="E376" s="3" t="n">
        <v>-1256.68</v>
      </c>
      <c r="F376" s="3" t="inlineStr">
        <is>
          <t>Débito</t>
        </is>
      </c>
      <c r="G376" s="3" t="inlineStr">
        <is>
          <t>Pró-labore</t>
        </is>
      </c>
      <c r="H376" s="3" t="inlineStr">
        <is>
          <t>2025-08</t>
        </is>
      </c>
      <c r="I376" s="3" t="n"/>
      <c r="J376" s="3" t="n"/>
    </row>
    <row r="377">
      <c r="A377" s="6" t="n">
        <v>45870</v>
      </c>
      <c r="B377" s="3" t="inlineStr">
        <is>
          <t>Other Expenses</t>
        </is>
      </c>
      <c r="C377" s="3" t="inlineStr">
        <is>
          <t>VITORIA DE OLIVEIRA FERREIRA CORREA</t>
        </is>
      </c>
      <c r="D377" s="3" t="inlineStr">
        <is>
          <t>Reembolso Despesas EUA</t>
        </is>
      </c>
      <c r="E377" s="3" t="n">
        <v>-4656.23</v>
      </c>
      <c r="F377" s="3" t="inlineStr">
        <is>
          <t>Débito</t>
        </is>
      </c>
      <c r="G377" s="3" t="inlineStr">
        <is>
          <t>Reembolsos Colaboradores</t>
        </is>
      </c>
      <c r="H377" s="3" t="inlineStr">
        <is>
          <t>2025-08</t>
        </is>
      </c>
      <c r="I377" s="3" t="n"/>
      <c r="J377" s="3" t="n"/>
    </row>
    <row r="378">
      <c r="A378" s="6" t="n">
        <v>45870</v>
      </c>
      <c r="B378" s="3" t="inlineStr">
        <is>
          <t>Other Expenses</t>
        </is>
      </c>
      <c r="C378" s="3" t="inlineStr">
        <is>
          <t>GABRIEL CANTARIN SIMOES</t>
        </is>
      </c>
      <c r="D378" s="3" t="inlineStr">
        <is>
          <t>Comprovante GRU Judicial - 08/2025</t>
        </is>
      </c>
      <c r="E378" s="3" t="n">
        <v>-438</v>
      </c>
      <c r="F378" s="3" t="inlineStr">
        <is>
          <t>Débito</t>
        </is>
      </c>
      <c r="G378" s="3" t="inlineStr">
        <is>
          <t>Reembolso</t>
        </is>
      </c>
      <c r="H378" s="3" t="inlineStr">
        <is>
          <t>2025-08</t>
        </is>
      </c>
      <c r="I378" s="3" t="n"/>
      <c r="J378" s="3" t="n"/>
    </row>
    <row r="379">
      <c r="A379" s="6" t="n">
        <v>45915</v>
      </c>
      <c r="B379" s="3" t="inlineStr">
        <is>
          <t>Rendimentos de Aplicações</t>
        </is>
      </c>
      <c r="C379" s="3" t="inlineStr">
        <is>
          <t>CONTA SIMPLES</t>
        </is>
      </c>
      <c r="D379" s="3" t="inlineStr">
        <is>
          <t>Rentabilidade CDI</t>
        </is>
      </c>
      <c r="E379" s="3" t="n">
        <v>12.58</v>
      </c>
      <c r="F379" s="3" t="inlineStr">
        <is>
          <t>Crédito</t>
        </is>
      </c>
      <c r="G379" s="3" t="inlineStr">
        <is>
          <t>Rendimentos de Aplicações</t>
        </is>
      </c>
      <c r="H379" s="3" t="inlineStr">
        <is>
          <t>2025-09</t>
        </is>
      </c>
      <c r="I379" s="3" t="n"/>
      <c r="J379" s="3" t="n"/>
    </row>
    <row r="380">
      <c r="A380" s="6" t="n">
        <v>45915</v>
      </c>
      <c r="B380" s="3" t="n"/>
      <c r="C380" s="3" t="n"/>
      <c r="D380" s="3" t="inlineStr">
        <is>
          <t>Transferência de limite - Deposito de limite 2025-09-15T11:37:21.134Z</t>
        </is>
      </c>
      <c r="E380" s="3" t="n">
        <v>-38014.04</v>
      </c>
      <c r="F380" s="3" t="inlineStr">
        <is>
          <t>Débito</t>
        </is>
      </c>
      <c r="G380" s="3" t="inlineStr">
        <is>
          <t>Transferência de Saída</t>
        </is>
      </c>
      <c r="H380" s="3" t="inlineStr">
        <is>
          <t>2025-09</t>
        </is>
      </c>
      <c r="I380" s="3" t="n"/>
      <c r="J380" s="3" t="n"/>
    </row>
    <row r="381">
      <c r="A381" s="6" t="n">
        <v>45870</v>
      </c>
      <c r="B381" s="3" t="inlineStr">
        <is>
          <t>Marketing &amp; Growth Expenses</t>
        </is>
      </c>
      <c r="C381" s="3" t="inlineStr">
        <is>
          <t>MGA MARKETING LTDA</t>
        </is>
      </c>
      <c r="D381" s="3" t="inlineStr">
        <is>
          <t>NFS 00004508 - Serviço de Marketing Direto - ago/2025</t>
        </is>
      </c>
      <c r="E381" s="3" t="n">
        <v>-8500</v>
      </c>
      <c r="F381" s="3" t="inlineStr">
        <is>
          <t>Débito</t>
        </is>
      </c>
      <c r="G381" s="3" t="inlineStr">
        <is>
          <t>Marketing e Publicidade</t>
        </is>
      </c>
      <c r="H381" s="3" t="inlineStr">
        <is>
          <t>2025-08</t>
        </is>
      </c>
      <c r="I381" s="3" t="n"/>
      <c r="J381" s="3" t="n"/>
    </row>
    <row r="382">
      <c r="A382" s="6" t="n">
        <v>45919</v>
      </c>
      <c r="B382" s="3" t="inlineStr">
        <is>
          <t>Google Play Net Revenue</t>
        </is>
      </c>
      <c r="C382" s="3" t="inlineStr">
        <is>
          <t>GOOGLE BRASIL PAGAMENTOS LTDA</t>
        </is>
      </c>
      <c r="D382" s="3" t="inlineStr">
        <is>
          <t>Venda 7 / NFS-e:63 - RPS:65</t>
        </is>
      </c>
      <c r="E382" s="3" t="n">
        <v>136705.49</v>
      </c>
      <c r="F382" s="3" t="inlineStr">
        <is>
          <t>Crédito</t>
        </is>
      </c>
      <c r="G382" s="3" t="inlineStr">
        <is>
          <t>Receitas de Vendas</t>
        </is>
      </c>
      <c r="H382" s="3" t="inlineStr">
        <is>
          <t>2025-09</t>
        </is>
      </c>
      <c r="I382" s="3" t="n"/>
      <c r="J382" s="3" t="n"/>
    </row>
    <row r="383">
      <c r="A383" s="6" t="n">
        <v>45916</v>
      </c>
      <c r="B383" s="3" t="inlineStr">
        <is>
          <t>Rendimentos de Aplicações</t>
        </is>
      </c>
      <c r="C383" s="3" t="inlineStr">
        <is>
          <t>CONTA SIMPLES</t>
        </is>
      </c>
      <c r="D383" s="3" t="inlineStr">
        <is>
          <t>Rentabilidade CDI - Remuneração-Cta Pgto</t>
        </is>
      </c>
      <c r="E383" s="3" t="n">
        <v>18.44</v>
      </c>
      <c r="F383" s="3" t="inlineStr">
        <is>
          <t>Crédito</t>
        </is>
      </c>
      <c r="G383" s="3" t="inlineStr">
        <is>
          <t>Rendimentos de Aplicações</t>
        </is>
      </c>
      <c r="H383" s="3" t="inlineStr">
        <is>
          <t>2025-09</t>
        </is>
      </c>
      <c r="I383" s="3" t="n"/>
      <c r="J383" s="3" t="n"/>
    </row>
    <row r="384">
      <c r="A384" s="6" t="n">
        <v>45919</v>
      </c>
      <c r="B384" s="3" t="inlineStr">
        <is>
          <t>App Store Net Revenue</t>
        </is>
      </c>
      <c r="C384" s="3" t="inlineStr">
        <is>
          <t>App Store (Apple)</t>
        </is>
      </c>
      <c r="D384" s="3" t="inlineStr">
        <is>
          <t>Venda 8 / NFS-e:64 - RPS:66</t>
        </is>
      </c>
      <c r="E384" s="3" t="n">
        <v>229710.01</v>
      </c>
      <c r="F384" s="3" t="inlineStr">
        <is>
          <t>Crédito</t>
        </is>
      </c>
      <c r="G384" s="3" t="inlineStr">
        <is>
          <t>Receitas de Vendas</t>
        </is>
      </c>
      <c r="H384" s="3" t="inlineStr">
        <is>
          <t>2025-09</t>
        </is>
      </c>
      <c r="I384" s="3" t="n"/>
      <c r="J384" s="3" t="n"/>
    </row>
    <row r="385">
      <c r="A385" s="6" t="n">
        <v>45917</v>
      </c>
      <c r="B385" s="3" t="inlineStr">
        <is>
          <t>Rendimentos de Aplicações</t>
        </is>
      </c>
      <c r="C385" s="3" t="inlineStr">
        <is>
          <t>CONTA SIMPLES</t>
        </is>
      </c>
      <c r="D385" s="3" t="inlineStr">
        <is>
          <t>Rentabilidade CDI - Remuneração-Cta Pgto</t>
        </is>
      </c>
      <c r="E385" s="3" t="n">
        <v>20.73</v>
      </c>
      <c r="F385" s="3" t="inlineStr">
        <is>
          <t>Crédito</t>
        </is>
      </c>
      <c r="G385" s="3" t="inlineStr">
        <is>
          <t>Rendimentos de Aplicações</t>
        </is>
      </c>
      <c r="H385" s="3" t="inlineStr">
        <is>
          <t>2025-09</t>
        </is>
      </c>
      <c r="I385" s="3" t="n"/>
      <c r="J385" s="3" t="n"/>
    </row>
    <row r="386">
      <c r="A386" s="6" t="n">
        <v>45918</v>
      </c>
      <c r="B386" s="3" t="inlineStr">
        <is>
          <t>Rendimentos de Aplicações</t>
        </is>
      </c>
      <c r="C386" s="3" t="inlineStr">
        <is>
          <t>CONTA SIMPLES</t>
        </is>
      </c>
      <c r="D386" s="3" t="inlineStr">
        <is>
          <t>Rentabilidade CDI - Remuneração-Cta Pgto</t>
        </is>
      </c>
      <c r="E386" s="3" t="n">
        <v>19.57</v>
      </c>
      <c r="F386" s="3" t="inlineStr">
        <is>
          <t>Crédito</t>
        </is>
      </c>
      <c r="G386" s="3" t="inlineStr">
        <is>
          <t>Rendimentos de Aplicações</t>
        </is>
      </c>
      <c r="H386" s="3" t="inlineStr">
        <is>
          <t>2025-09</t>
        </is>
      </c>
      <c r="I386" s="3" t="n"/>
      <c r="J386" s="3" t="n"/>
    </row>
    <row r="387">
      <c r="A387" s="6" t="n">
        <v>45870</v>
      </c>
      <c r="B387" s="3" t="inlineStr">
        <is>
          <t>Office Expenses</t>
        </is>
      </c>
      <c r="C387" s="3" t="inlineStr">
        <is>
          <t>GO OFFICES LATAM S/A</t>
        </is>
      </c>
      <c r="D387" s="3" t="inlineStr">
        <is>
          <t>REF. ALUGUEL MENSAL</t>
        </is>
      </c>
      <c r="E387" s="3" t="n">
        <v>-7650</v>
      </c>
      <c r="F387" s="3" t="inlineStr">
        <is>
          <t>Débito</t>
        </is>
      </c>
      <c r="G387" s="3" t="inlineStr">
        <is>
          <t>Aluguel</t>
        </is>
      </c>
      <c r="H387" s="3" t="inlineStr">
        <is>
          <t>2025-08</t>
        </is>
      </c>
      <c r="I387" s="3" t="n"/>
      <c r="J387" s="3" t="n"/>
    </row>
    <row r="388">
      <c r="A388" s="6" t="n">
        <v>45870</v>
      </c>
      <c r="B388" s="3" t="inlineStr">
        <is>
          <t>Legal &amp; Accounting Expenses</t>
        </is>
      </c>
      <c r="C388" s="3" t="inlineStr">
        <is>
          <t>WOLFF E SCRIPES ADVOGADOS</t>
        </is>
      </c>
      <c r="D388" s="3" t="inlineStr">
        <is>
          <t>NF 1611 - HONORÁRIOS ADVOCATÍCIOS</t>
        </is>
      </c>
      <c r="E388" s="3" t="n">
        <v>-1295.57</v>
      </c>
      <c r="F388" s="3" t="inlineStr">
        <is>
          <t>Débito</t>
        </is>
      </c>
      <c r="G388" s="3" t="inlineStr">
        <is>
          <t>Honorários Advocatícios</t>
        </is>
      </c>
      <c r="H388" s="3" t="inlineStr">
        <is>
          <t>2025-08</t>
        </is>
      </c>
      <c r="I388" s="3" t="n"/>
      <c r="J388" s="3" t="n"/>
    </row>
    <row r="389">
      <c r="A389" s="6" t="n">
        <v>45870</v>
      </c>
      <c r="B389" s="3" t="inlineStr">
        <is>
          <t>Legal &amp; Accounting Expenses</t>
        </is>
      </c>
      <c r="C389" s="3" t="inlineStr">
        <is>
          <t>WOLFF E SCRIPES ADVOGADOS</t>
        </is>
      </c>
      <c r="D389" s="3" t="inlineStr">
        <is>
          <t>Reembolso de Despesas - Cópia de Inquérito Policial - ago/2025</t>
        </is>
      </c>
      <c r="E389" s="3" t="n">
        <v>-52.62</v>
      </c>
      <c r="F389" s="3" t="inlineStr">
        <is>
          <t>Débito</t>
        </is>
      </c>
      <c r="G389" s="3" t="inlineStr">
        <is>
          <t>Honorários Advocatícios</t>
        </is>
      </c>
      <c r="H389" s="3" t="inlineStr">
        <is>
          <t>2025-08</t>
        </is>
      </c>
      <c r="I389" s="3" t="n"/>
      <c r="J389" s="3" t="n"/>
    </row>
    <row r="390">
      <c r="A390" s="6" t="n">
        <v>45870</v>
      </c>
      <c r="B390" s="3" t="inlineStr">
        <is>
          <t>Office Expenses</t>
        </is>
      </c>
      <c r="C390" s="3" t="inlineStr">
        <is>
          <t>CO-SERVICES DO BRASIL  SERVICOS COMBINADOS DE APOIO A EDIFICIOS LTDA</t>
        </is>
      </c>
      <c r="D390" s="3" t="inlineStr">
        <is>
          <t>NF 23051 - REF. SERVIÇOS DE FACILITES</t>
        </is>
      </c>
      <c r="E390" s="3" t="n">
        <v>-739.5</v>
      </c>
      <c r="F390" s="3" t="inlineStr">
        <is>
          <t>Débito</t>
        </is>
      </c>
      <c r="G390" s="3" t="inlineStr">
        <is>
          <t>Aluguel</t>
        </is>
      </c>
      <c r="H390" s="3" t="inlineStr">
        <is>
          <t>2025-08</t>
        </is>
      </c>
      <c r="I390" s="3" t="n"/>
      <c r="J390" s="3" t="n"/>
    </row>
    <row r="391">
      <c r="A391" s="6" t="n">
        <v>45870</v>
      </c>
      <c r="B391" s="3" t="inlineStr">
        <is>
          <t>Payroll Tax - Brazil</t>
        </is>
      </c>
      <c r="C391" s="3" t="inlineStr">
        <is>
          <t>IMPOSTOS/TRIBUTOS</t>
        </is>
      </c>
      <c r="D391" s="3" t="inlineStr">
        <is>
          <t>RECEITA FEDERAL/SP - DARF INSS</t>
        </is>
      </c>
      <c r="E391" s="3" t="n">
        <v>-166.98</v>
      </c>
      <c r="F391" s="3" t="inlineStr">
        <is>
          <t>Débito</t>
        </is>
      </c>
      <c r="G391" s="3" t="inlineStr">
        <is>
          <t>INSS sobre Pró-labore - GPS</t>
        </is>
      </c>
      <c r="H391" s="3" t="inlineStr">
        <is>
          <t>2025-08</t>
        </is>
      </c>
      <c r="I391" s="3" t="n"/>
      <c r="J391" s="3" t="n"/>
    </row>
    <row r="392">
      <c r="A392" s="6" t="n">
        <v>45870</v>
      </c>
      <c r="B392" s="3" t="inlineStr">
        <is>
          <t>Payroll Tax - Brazil</t>
        </is>
      </c>
      <c r="C392" s="3" t="inlineStr">
        <is>
          <t>IMPOSTOS/TRIBUTOS</t>
        </is>
      </c>
      <c r="D392" s="3" t="inlineStr">
        <is>
          <t>RECEITA FEDERAL/SP - DARF INSS</t>
        </is>
      </c>
      <c r="E392" s="3" t="n">
        <v>-93.5</v>
      </c>
      <c r="F392" s="3" t="inlineStr">
        <is>
          <t>Débito</t>
        </is>
      </c>
      <c r="G392" s="3" t="inlineStr">
        <is>
          <t>Retenção - GPS 2631 - INSS</t>
        </is>
      </c>
      <c r="H392" s="3" t="inlineStr">
        <is>
          <t>2025-08</t>
        </is>
      </c>
      <c r="I392" s="3" t="n"/>
      <c r="J392" s="3" t="n"/>
    </row>
    <row r="393">
      <c r="A393" s="6" t="n">
        <v>45919</v>
      </c>
      <c r="B393" s="3" t="inlineStr">
        <is>
          <t>Marketing &amp; Growth Expenses</t>
        </is>
      </c>
      <c r="C393" s="3" t="n"/>
      <c r="D393" s="3" t="inlineStr">
        <is>
          <t>Alexsandra Vitoria Bento Da Silva - Transferência | Pix</t>
        </is>
      </c>
      <c r="E393" s="3" t="n">
        <v>-22</v>
      </c>
      <c r="F393" s="3" t="inlineStr">
        <is>
          <t>Débito</t>
        </is>
      </c>
      <c r="G393" s="3" t="inlineStr">
        <is>
          <t>Marketing e Publicidade - Sem NF</t>
        </is>
      </c>
      <c r="H393" s="3" t="inlineStr">
        <is>
          <t>2025-09</t>
        </is>
      </c>
      <c r="I393" s="3" t="n"/>
      <c r="J393" s="3" t="n"/>
    </row>
    <row r="394">
      <c r="A394" s="6" t="n">
        <v>45919</v>
      </c>
      <c r="B394" s="3" t="inlineStr">
        <is>
          <t>Rendimentos de Aplicações</t>
        </is>
      </c>
      <c r="C394" s="3" t="inlineStr">
        <is>
          <t>CONTA SIMPLES</t>
        </is>
      </c>
      <c r="D394" s="3" t="inlineStr">
        <is>
          <t>Rentabilidade CDI</t>
        </is>
      </c>
      <c r="E394" s="3" t="n">
        <v>20.13</v>
      </c>
      <c r="F394" s="3" t="inlineStr">
        <is>
          <t>Crédito</t>
        </is>
      </c>
      <c r="G394" s="3" t="inlineStr">
        <is>
          <t>Rendimentos de Aplicações</t>
        </is>
      </c>
      <c r="H394" s="3" t="inlineStr">
        <is>
          <t>2025-09</t>
        </is>
      </c>
      <c r="I394" s="3" t="n"/>
      <c r="J394" s="3" t="n"/>
    </row>
    <row r="395">
      <c r="A395" s="6" t="n">
        <v>45920</v>
      </c>
      <c r="B395" s="3" t="inlineStr">
        <is>
          <t>Rendimentos de Aplicações</t>
        </is>
      </c>
      <c r="C395" s="3" t="inlineStr">
        <is>
          <t>CONTA SIMPLES</t>
        </is>
      </c>
      <c r="D395" s="3" t="inlineStr">
        <is>
          <t>Rentabilidade CDI - Remuneração-Cta Pgto</t>
        </is>
      </c>
      <c r="E395" s="3" t="n">
        <v>14.63</v>
      </c>
      <c r="F395" s="3" t="inlineStr">
        <is>
          <t>Crédito</t>
        </is>
      </c>
      <c r="G395" s="3" t="inlineStr">
        <is>
          <t>Rendimentos de Aplicações</t>
        </is>
      </c>
      <c r="H395" s="3" t="inlineStr">
        <is>
          <t>2025-09</t>
        </is>
      </c>
      <c r="I395" s="3" t="n"/>
      <c r="J395" s="3" t="n"/>
    </row>
    <row r="396">
      <c r="A396" s="6" t="n">
        <v>45922</v>
      </c>
      <c r="B396" s="3" t="inlineStr">
        <is>
          <t>Identificar</t>
        </is>
      </c>
      <c r="C396" s="3" t="n"/>
      <c r="D396" s="3" t="inlineStr">
        <is>
          <t>PIX Enviado para MARELOI COMERCIAL LTDA</t>
        </is>
      </c>
      <c r="E396" s="3" t="n">
        <v>-141.75</v>
      </c>
      <c r="F396" s="3" t="inlineStr">
        <is>
          <t>Débito</t>
        </is>
      </c>
      <c r="G396" s="3" t="inlineStr">
        <is>
          <t>Despesas a identificar</t>
        </is>
      </c>
      <c r="H396" s="3" t="inlineStr">
        <is>
          <t>2025-09</t>
        </is>
      </c>
      <c r="I396" s="3" t="n"/>
      <c r="J396" s="3" t="n"/>
    </row>
    <row r="397">
      <c r="A397" s="6" t="n">
        <v>45923</v>
      </c>
      <c r="B397" s="3" t="inlineStr">
        <is>
          <t>Rendimentos de Aplicações</t>
        </is>
      </c>
      <c r="C397" s="3" t="inlineStr">
        <is>
          <t>CONTA SIMPLES</t>
        </is>
      </c>
      <c r="D397" s="3" t="inlineStr">
        <is>
          <t>Rentabilidade CDI - Remuneração-Cta Pgto</t>
        </is>
      </c>
      <c r="E397" s="3" t="n">
        <v>14.59</v>
      </c>
      <c r="F397" s="3" t="inlineStr">
        <is>
          <t>Crédito</t>
        </is>
      </c>
      <c r="G397" s="3" t="inlineStr">
        <is>
          <t>Rendimentos de Aplicações</t>
        </is>
      </c>
      <c r="H397" s="3" t="inlineStr">
        <is>
          <t>2025-09</t>
        </is>
      </c>
      <c r="I397" s="3" t="n"/>
      <c r="J397" s="3" t="n"/>
    </row>
    <row r="398">
      <c r="A398" s="6" t="n">
        <v>45924</v>
      </c>
      <c r="B398" s="3" t="inlineStr">
        <is>
          <t>Rendimentos de Aplicações</t>
        </is>
      </c>
      <c r="C398" s="3" t="inlineStr">
        <is>
          <t>CONTA SIMPLES</t>
        </is>
      </c>
      <c r="D398" s="3" t="inlineStr">
        <is>
          <t>Rentabilidade CDI - Remuneração-Cta Pgto</t>
        </is>
      </c>
      <c r="E398" s="3" t="n">
        <v>14.58</v>
      </c>
      <c r="F398" s="3" t="inlineStr">
        <is>
          <t>Crédito</t>
        </is>
      </c>
      <c r="G398" s="3" t="inlineStr">
        <is>
          <t>Rendimentos de Aplicações</t>
        </is>
      </c>
      <c r="H398" s="3" t="inlineStr">
        <is>
          <t>2025-09</t>
        </is>
      </c>
      <c r="I398" s="3" t="n"/>
      <c r="J398" s="3" t="n"/>
    </row>
    <row r="399">
      <c r="A399" s="6" t="n">
        <v>45925</v>
      </c>
      <c r="B399" s="3" t="inlineStr">
        <is>
          <t>Rendimentos de Aplicações</t>
        </is>
      </c>
      <c r="C399" s="3" t="inlineStr">
        <is>
          <t>CONTA SIMPLES</t>
        </is>
      </c>
      <c r="D399" s="3" t="inlineStr">
        <is>
          <t>Rentabilidade CDI - Remuneração-Cta Pgto</t>
        </is>
      </c>
      <c r="E399" s="3" t="n">
        <v>14.59</v>
      </c>
      <c r="F399" s="3" t="inlineStr">
        <is>
          <t>Crédito</t>
        </is>
      </c>
      <c r="G399" s="3" t="inlineStr">
        <is>
          <t>Rendimentos de Aplicações</t>
        </is>
      </c>
      <c r="H399" s="3" t="inlineStr">
        <is>
          <t>2025-09</t>
        </is>
      </c>
      <c r="I399" s="3" t="n"/>
      <c r="J399" s="3" t="n"/>
    </row>
    <row r="400">
      <c r="A400" s="6" t="n">
        <v>45870</v>
      </c>
      <c r="B400" s="3" t="inlineStr">
        <is>
          <t>Other Taxes</t>
        </is>
      </c>
      <c r="C400" s="3" t="inlineStr">
        <is>
          <t>IMPOSTOS/TRIBUTOS</t>
        </is>
      </c>
      <c r="D400" s="3" t="inlineStr">
        <is>
          <t>SIMPLES NACIONAL - DAS / VALOR CONTEMPLA MÊS 06, 07 E 08.2025</t>
        </is>
      </c>
      <c r="E400" s="3" t="n">
        <v>-220768.89</v>
      </c>
      <c r="F400" s="3" t="inlineStr">
        <is>
          <t>Débito</t>
        </is>
      </c>
      <c r="G400" s="3" t="inlineStr">
        <is>
          <t>Simples Nacional - DAS</t>
        </is>
      </c>
      <c r="H400" s="3" t="inlineStr">
        <is>
          <t>2025-08</t>
        </is>
      </c>
      <c r="I400" s="3" t="n"/>
      <c r="J400" s="3" t="n"/>
    </row>
    <row r="401">
      <c r="A401" s="6" t="n">
        <v>45926</v>
      </c>
      <c r="B401" s="3" t="inlineStr">
        <is>
          <t>Rendimentos de Aplicações</t>
        </is>
      </c>
      <c r="C401" s="3" t="inlineStr">
        <is>
          <t>CONTA SIMPLES</t>
        </is>
      </c>
      <c r="D401" s="3" t="inlineStr">
        <is>
          <t>Rentabilidade CDI</t>
        </is>
      </c>
      <c r="E401" s="3" t="n">
        <v>14.61</v>
      </c>
      <c r="F401" s="3" t="inlineStr">
        <is>
          <t>Crédito</t>
        </is>
      </c>
      <c r="G401" s="3" t="inlineStr">
        <is>
          <t>Rendimentos de Aplicações</t>
        </is>
      </c>
      <c r="H401" s="3" t="inlineStr">
        <is>
          <t>2025-09</t>
        </is>
      </c>
      <c r="I401" s="3" t="n"/>
      <c r="J401" s="3" t="n"/>
    </row>
    <row r="402">
      <c r="A402" s="6" t="n">
        <v>45926</v>
      </c>
      <c r="B402" s="3" t="inlineStr">
        <is>
          <t>Identificar</t>
        </is>
      </c>
      <c r="C402" s="3" t="n"/>
      <c r="D402" s="3" t="inlineStr">
        <is>
          <t>PIX Enviado para MADERO INDUSTRIA E COMERCIO S.A.</t>
        </is>
      </c>
      <c r="E402" s="3" t="n">
        <v>-562.1</v>
      </c>
      <c r="F402" s="3" t="inlineStr">
        <is>
          <t>Débito</t>
        </is>
      </c>
      <c r="G402" s="3" t="inlineStr">
        <is>
          <t>Despesas a identificar</t>
        </is>
      </c>
      <c r="H402" s="3" t="inlineStr">
        <is>
          <t>2025-09</t>
        </is>
      </c>
      <c r="I402" s="3" t="n"/>
      <c r="J402" s="3" t="n"/>
    </row>
    <row r="403">
      <c r="A403" s="6" t="n">
        <v>45927</v>
      </c>
      <c r="B403" s="3" t="inlineStr">
        <is>
          <t>Rendimentos de Aplicações</t>
        </is>
      </c>
      <c r="C403" s="3" t="inlineStr">
        <is>
          <t>CONTA SIMPLES</t>
        </is>
      </c>
      <c r="D403" s="3" t="inlineStr">
        <is>
          <t>Rentabilidade CDI - Remuneração-Cta Pgto</t>
        </is>
      </c>
      <c r="E403" s="3" t="n">
        <v>14.42</v>
      </c>
      <c r="F403" s="3" t="inlineStr">
        <is>
          <t>Crédito</t>
        </is>
      </c>
      <c r="G403" s="3" t="inlineStr">
        <is>
          <t>Rendimentos de Aplicações</t>
        </is>
      </c>
      <c r="H403" s="3" t="inlineStr">
        <is>
          <t>2025-09</t>
        </is>
      </c>
      <c r="I403" s="3" t="n"/>
      <c r="J403" s="3" t="n"/>
    </row>
    <row r="404">
      <c r="A404" s="6" t="n">
        <v>45930</v>
      </c>
      <c r="B404" s="3" t="inlineStr">
        <is>
          <t>Rendimentos de Aplicações</t>
        </is>
      </c>
      <c r="C404" s="3" t="inlineStr">
        <is>
          <t>BANCO INTER</t>
        </is>
      </c>
      <c r="D404" s="3" t="inlineStr">
        <is>
          <t>Rendimento - Mapfre Confianza Firf Referenciado Cp</t>
        </is>
      </c>
      <c r="E404" s="3" t="n">
        <v>883.11</v>
      </c>
      <c r="F404" s="3" t="inlineStr">
        <is>
          <t>Crédito</t>
        </is>
      </c>
      <c r="G404" s="3" t="inlineStr">
        <is>
          <t>Rendimentos de Aplicações</t>
        </is>
      </c>
      <c r="H404" s="3" t="inlineStr">
        <is>
          <t>2025-09</t>
        </is>
      </c>
      <c r="I404" s="3" t="n"/>
      <c r="J404" s="3" t="n"/>
    </row>
    <row r="405">
      <c r="A405" s="6" t="n">
        <v>45930</v>
      </c>
      <c r="B405" s="3" t="inlineStr">
        <is>
          <t>Rendimentos de Aplicações</t>
        </is>
      </c>
      <c r="C405" s="3" t="inlineStr">
        <is>
          <t>BANCO INTER</t>
        </is>
      </c>
      <c r="D405" s="3" t="inlineStr">
        <is>
          <t>Rendimento - Az Quest Valore Firf Cp</t>
        </is>
      </c>
      <c r="E405" s="3" t="n">
        <v>1504.23</v>
      </c>
      <c r="F405" s="3" t="inlineStr">
        <is>
          <t>Crédito</t>
        </is>
      </c>
      <c r="G405" s="3" t="inlineStr">
        <is>
          <t>Rendimentos de Aplicações</t>
        </is>
      </c>
      <c r="H405" s="3" t="inlineStr">
        <is>
          <t>2025-09</t>
        </is>
      </c>
      <c r="I405" s="3" t="n"/>
      <c r="J405" s="3" t="n"/>
    </row>
    <row r="406">
      <c r="A406" s="6" t="n">
        <v>45930</v>
      </c>
      <c r="B406" s="3" t="inlineStr">
        <is>
          <t>Rendimentos de Aplicações</t>
        </is>
      </c>
      <c r="C406" s="3" t="inlineStr">
        <is>
          <t>BANCO INTER</t>
        </is>
      </c>
      <c r="D406" s="3" t="inlineStr">
        <is>
          <t>Rendimento - Bradesco Zupo Fic Firf Lp Cp</t>
        </is>
      </c>
      <c r="E406" s="3" t="n">
        <v>879.6799999999999</v>
      </c>
      <c r="F406" s="3" t="inlineStr">
        <is>
          <t>Crédito</t>
        </is>
      </c>
      <c r="G406" s="3" t="inlineStr">
        <is>
          <t>Rendimentos de Aplicações</t>
        </is>
      </c>
      <c r="H406" s="3" t="inlineStr">
        <is>
          <t>2025-09</t>
        </is>
      </c>
      <c r="I406" s="3" t="n"/>
      <c r="J406" s="3" t="n"/>
    </row>
    <row r="407">
      <c r="A407" s="6" t="n">
        <v>45930</v>
      </c>
      <c r="B407" s="3" t="inlineStr">
        <is>
          <t>Rendimentos de Aplicações</t>
        </is>
      </c>
      <c r="C407" s="3" t="inlineStr">
        <is>
          <t>BANCO INTER</t>
        </is>
      </c>
      <c r="D407" s="3" t="inlineStr">
        <is>
          <t>Rendimento - Inter Liquidez Fic Firf Cp RL</t>
        </is>
      </c>
      <c r="E407" s="3" t="n">
        <v>1428.89</v>
      </c>
      <c r="F407" s="3" t="inlineStr">
        <is>
          <t>Crédito</t>
        </is>
      </c>
      <c r="G407" s="3" t="inlineStr">
        <is>
          <t>Rendimentos de Aplicações</t>
        </is>
      </c>
      <c r="H407" s="3" t="inlineStr">
        <is>
          <t>2025-09</t>
        </is>
      </c>
      <c r="I407" s="3" t="n"/>
      <c r="J407" s="3" t="n"/>
    </row>
    <row r="408">
      <c r="A408" s="6" t="n">
        <v>45930</v>
      </c>
      <c r="B408" s="3" t="inlineStr">
        <is>
          <t>Rendimentos de Aplicações</t>
        </is>
      </c>
      <c r="C408" s="3" t="inlineStr">
        <is>
          <t>BANCO INTER</t>
        </is>
      </c>
      <c r="D408" s="3" t="inlineStr">
        <is>
          <t>Rendimento - Absolute Atenas Fic Firf Cp</t>
        </is>
      </c>
      <c r="E408" s="3" t="n">
        <v>403.86</v>
      </c>
      <c r="F408" s="3" t="inlineStr">
        <is>
          <t>Crédito</t>
        </is>
      </c>
      <c r="G408" s="3" t="inlineStr">
        <is>
          <t>Rendimentos de Aplicações</t>
        </is>
      </c>
      <c r="H408" s="3" t="inlineStr">
        <is>
          <t>2025-09</t>
        </is>
      </c>
      <c r="I408" s="3" t="n"/>
      <c r="J408" s="3" t="n"/>
    </row>
    <row r="409">
      <c r="A409" s="6" t="n">
        <v>45930</v>
      </c>
      <c r="B409" s="3" t="inlineStr">
        <is>
          <t>Rendimentos de Aplicações</t>
        </is>
      </c>
      <c r="C409" s="3" t="inlineStr">
        <is>
          <t>BANCO INTER</t>
        </is>
      </c>
      <c r="D409" s="3" t="inlineStr">
        <is>
          <t>Rendimento - Inter Bb Renda Fixa Fic Lp</t>
        </is>
      </c>
      <c r="E409" s="3" t="n">
        <v>1851.84</v>
      </c>
      <c r="F409" s="3" t="inlineStr">
        <is>
          <t>Crédito</t>
        </is>
      </c>
      <c r="G409" s="3" t="inlineStr">
        <is>
          <t>Rendimentos de Aplicações</t>
        </is>
      </c>
      <c r="H409" s="3" t="inlineStr">
        <is>
          <t>2025-09</t>
        </is>
      </c>
      <c r="I409" s="3" t="n"/>
      <c r="J409" s="3" t="n"/>
    </row>
    <row r="410">
      <c r="A410" s="6" t="n">
        <v>45870</v>
      </c>
      <c r="B410" s="3" t="inlineStr">
        <is>
          <t>Other Taxes</t>
        </is>
      </c>
      <c r="C410" s="3" t="inlineStr">
        <is>
          <t>IMPOSTOS/TRIBUTOS</t>
        </is>
      </c>
      <c r="D410" s="3" t="inlineStr">
        <is>
          <t>SIMPLES NACIONAL - DAS PARCELAMENTO SIMPLES NACIONAL</t>
        </is>
      </c>
      <c r="E410" s="3" t="n">
        <v>-5225.74</v>
      </c>
      <c r="F410" s="3" t="inlineStr">
        <is>
          <t>Débito</t>
        </is>
      </c>
      <c r="G410" s="3" t="inlineStr">
        <is>
          <t>Simples Nacional - DAS</t>
        </is>
      </c>
      <c r="H410" s="3" t="inlineStr">
        <is>
          <t>2025-08</t>
        </is>
      </c>
      <c r="I410" s="3" t="n"/>
      <c r="J410" s="3" t="n"/>
    </row>
    <row r="411">
      <c r="A411" s="6" t="n">
        <v>45870</v>
      </c>
      <c r="B411" s="3" t="inlineStr">
        <is>
          <t>Other Taxes</t>
        </is>
      </c>
      <c r="C411" s="3" t="inlineStr">
        <is>
          <t>IMPOSTOS/TRIBUTOS</t>
        </is>
      </c>
      <c r="D411" s="3" t="inlineStr">
        <is>
          <t>SIMPLES NACIONAL - DAS PARCELAMENTO DIVIDA ATIVA</t>
        </is>
      </c>
      <c r="E411" s="3" t="n">
        <v>-812.3</v>
      </c>
      <c r="F411" s="3" t="inlineStr">
        <is>
          <t>Débito</t>
        </is>
      </c>
      <c r="G411" s="3" t="inlineStr">
        <is>
          <t>Simples Nacional - DAS</t>
        </is>
      </c>
      <c r="H411" s="3" t="inlineStr">
        <is>
          <t>2025-08</t>
        </is>
      </c>
      <c r="I411" s="3" t="n"/>
      <c r="J411" s="3" t="n"/>
    </row>
    <row r="412">
      <c r="A412" s="6" t="n">
        <v>45870</v>
      </c>
      <c r="B412" s="3" t="inlineStr">
        <is>
          <t>Other Taxes</t>
        </is>
      </c>
      <c r="C412" s="3" t="inlineStr">
        <is>
          <t>IMPOSTOS/TRIBUTOS</t>
        </is>
      </c>
      <c r="D412" s="3" t="inlineStr">
        <is>
          <t>SIMPLES NACIONAL - DAS PARCELAMENTO DIVIDA ATIVA MUNICIPAL</t>
        </is>
      </c>
      <c r="E412" s="3" t="n">
        <v>-214.89</v>
      </c>
      <c r="F412" s="3" t="inlineStr">
        <is>
          <t>Débito</t>
        </is>
      </c>
      <c r="G412" s="3" t="inlineStr">
        <is>
          <t>Simples Nacional - DAS</t>
        </is>
      </c>
      <c r="H412" s="3" t="inlineStr">
        <is>
          <t>2025-08</t>
        </is>
      </c>
      <c r="I412" s="3" t="n"/>
      <c r="J412" s="3" t="n"/>
    </row>
    <row r="413">
      <c r="A413" s="6" t="n">
        <v>45930</v>
      </c>
      <c r="B413" s="3" t="inlineStr">
        <is>
          <t>Rendimentos de Aplicações</t>
        </is>
      </c>
      <c r="C413" s="3" t="inlineStr">
        <is>
          <t>CONTA SIMPLES</t>
        </is>
      </c>
      <c r="D413" s="3" t="inlineStr">
        <is>
          <t>Rentabilidade CDI - Remuneração-Cta Pgto</t>
        </is>
      </c>
      <c r="E413" s="3" t="n">
        <v>14.39</v>
      </c>
      <c r="F413" s="3" t="inlineStr">
        <is>
          <t>Crédito</t>
        </is>
      </c>
      <c r="G413" s="3" t="inlineStr">
        <is>
          <t>Rendimentos de Aplicações</t>
        </is>
      </c>
      <c r="H413" s="3" t="inlineStr">
        <is>
          <t>2025-09</t>
        </is>
      </c>
      <c r="I413" s="3" t="n"/>
      <c r="J413" s="3" t="n"/>
    </row>
    <row r="414">
      <c r="A414" s="6" t="n">
        <v>45931</v>
      </c>
      <c r="B414" s="3" t="inlineStr">
        <is>
          <t>Rendimentos de Aplicações</t>
        </is>
      </c>
      <c r="C414" s="3" t="inlineStr">
        <is>
          <t>CONTA SIMPLES</t>
        </is>
      </c>
      <c r="D414" s="3" t="inlineStr">
        <is>
          <t>Rentabilidade CDI - Remuneração-Cta Pgto</t>
        </is>
      </c>
      <c r="E414" s="3" t="n">
        <v>14.4</v>
      </c>
      <c r="F414" s="3" t="inlineStr">
        <is>
          <t>Crédito</t>
        </is>
      </c>
      <c r="G414" s="3" t="inlineStr">
        <is>
          <t>Rendimentos de Aplicações</t>
        </is>
      </c>
      <c r="H414" s="3" t="inlineStr">
        <is>
          <t>2025-10</t>
        </is>
      </c>
      <c r="I414" s="3" t="n"/>
      <c r="J414" s="3" t="n"/>
    </row>
    <row r="415">
      <c r="A415" s="6" t="n">
        <v>45932</v>
      </c>
      <c r="B415" s="3" t="inlineStr">
        <is>
          <t>Rendimentos de Aplicações</t>
        </is>
      </c>
      <c r="C415" s="3" t="inlineStr">
        <is>
          <t>CONTA SIMPLES</t>
        </is>
      </c>
      <c r="D415" s="3" t="inlineStr">
        <is>
          <t>Rentabilidade CDI - Remuneração-Cta Pgto</t>
        </is>
      </c>
      <c r="E415" s="3" t="n">
        <v>14.43</v>
      </c>
      <c r="F415" s="3" t="inlineStr">
        <is>
          <t>Crédito</t>
        </is>
      </c>
      <c r="G415" s="3" t="inlineStr">
        <is>
          <t>Rendimentos de Aplicações</t>
        </is>
      </c>
      <c r="H415" s="3" t="inlineStr">
        <is>
          <t>2025-10</t>
        </is>
      </c>
      <c r="I415" s="3" t="n"/>
      <c r="J415" s="3" t="n"/>
    </row>
    <row r="416">
      <c r="A416" s="6" t="n">
        <v>45933</v>
      </c>
      <c r="B416" s="3" t="inlineStr">
        <is>
          <t>Rendimentos de Aplicações</t>
        </is>
      </c>
      <c r="C416" s="3" t="inlineStr">
        <is>
          <t>CONTA SIMPLES</t>
        </is>
      </c>
      <c r="D416" s="3" t="inlineStr">
        <is>
          <t>Rentabilidade CDI - Remuneração-Cta Pgto</t>
        </is>
      </c>
      <c r="E416" s="3" t="n">
        <v>14.41</v>
      </c>
      <c r="F416" s="3" t="inlineStr">
        <is>
          <t>Crédito</t>
        </is>
      </c>
      <c r="G416" s="3" t="inlineStr">
        <is>
          <t>Rendimentos de Aplicações</t>
        </is>
      </c>
      <c r="H416" s="3" t="inlineStr">
        <is>
          <t>2025-10</t>
        </is>
      </c>
      <c r="I416" s="3" t="n"/>
      <c r="J416" s="3" t="n"/>
    </row>
    <row r="417">
      <c r="A417" s="6" t="n">
        <v>45934</v>
      </c>
      <c r="B417" s="3" t="inlineStr">
        <is>
          <t>Rendimentos de Aplicações</t>
        </is>
      </c>
      <c r="C417" s="3" t="inlineStr">
        <is>
          <t>CONTA SIMPLES</t>
        </is>
      </c>
      <c r="D417" s="3" t="inlineStr">
        <is>
          <t>Rentabilidade CDI - Remuneração-Cta Pgto</t>
        </is>
      </c>
      <c r="E417" s="3" t="n">
        <v>14.44</v>
      </c>
      <c r="F417" s="3" t="inlineStr">
        <is>
          <t>Crédito</t>
        </is>
      </c>
      <c r="G417" s="3" t="inlineStr">
        <is>
          <t>Rendimentos de Aplicações</t>
        </is>
      </c>
      <c r="H417" s="3" t="inlineStr">
        <is>
          <t>2025-10</t>
        </is>
      </c>
      <c r="I417" s="3" t="n"/>
      <c r="J417" s="3" t="n"/>
    </row>
    <row r="418">
      <c r="A418" s="6" t="n">
        <v>45936</v>
      </c>
      <c r="B418" s="3" t="n"/>
      <c r="C418" s="3" t="n"/>
      <c r="D418" s="3" t="inlineStr">
        <is>
          <t>Pix enviado - Umatch Ltda</t>
        </is>
      </c>
      <c r="E418" s="3" t="n">
        <v>42689.2</v>
      </c>
      <c r="F418" s="3" t="inlineStr">
        <is>
          <t>Crédito</t>
        </is>
      </c>
      <c r="G418" s="3" t="inlineStr">
        <is>
          <t>Transferência de Entrada</t>
        </is>
      </c>
      <c r="H418" s="3" t="inlineStr">
        <is>
          <t>2025-10</t>
        </is>
      </c>
      <c r="I418" s="3" t="n"/>
      <c r="J418" s="3" t="n"/>
    </row>
    <row r="419">
      <c r="A419" s="6" t="n">
        <v>45936</v>
      </c>
      <c r="B419" s="3" t="n"/>
      <c r="C419" s="3" t="n"/>
      <c r="D419" s="3" t="inlineStr">
        <is>
          <t>Pix enviado - Umatch Ltda</t>
        </is>
      </c>
      <c r="E419" s="3" t="n">
        <v>-42689.2</v>
      </c>
      <c r="F419" s="3" t="inlineStr">
        <is>
          <t>Débito</t>
        </is>
      </c>
      <c r="G419" s="3" t="inlineStr">
        <is>
          <t>Transferência de Saída</t>
        </is>
      </c>
      <c r="H419" s="3" t="inlineStr">
        <is>
          <t>2025-10</t>
        </is>
      </c>
      <c r="I419" s="3" t="n"/>
      <c r="J419" s="3" t="n"/>
    </row>
    <row r="420">
      <c r="A420" s="6" t="n">
        <v>45936</v>
      </c>
      <c r="B420" s="3" t="inlineStr">
        <is>
          <t>Marketing &amp; Growth Expenses</t>
        </is>
      </c>
      <c r="C420" s="3" t="n"/>
      <c r="D420" s="3" t="inlineStr">
        <is>
          <t>Diego Takeshi Kawaguchi - Transferência | Pix</t>
        </is>
      </c>
      <c r="E420" s="3" t="n">
        <v>-416.75</v>
      </c>
      <c r="F420" s="3" t="inlineStr">
        <is>
          <t>Débito</t>
        </is>
      </c>
      <c r="G420" s="3" t="inlineStr">
        <is>
          <t>Marketing e Publicidade - Sem NF</t>
        </is>
      </c>
      <c r="H420" s="3" t="inlineStr">
        <is>
          <t>2025-10</t>
        </is>
      </c>
      <c r="I420" s="3" t="n"/>
      <c r="J420" s="3" t="n"/>
    </row>
    <row r="421">
      <c r="A421" s="6" t="n">
        <v>45936</v>
      </c>
      <c r="B421" s="3" t="inlineStr">
        <is>
          <t>Marketing &amp; Growth Expenses</t>
        </is>
      </c>
      <c r="C421" s="3" t="n"/>
      <c r="D421" s="3" t="inlineStr">
        <is>
          <t>Emmanuela Vitoria Raimundo Mariano da Cruz - Transferência | Pix</t>
        </is>
      </c>
      <c r="E421" s="3" t="n">
        <v>-411.25</v>
      </c>
      <c r="F421" s="3" t="inlineStr">
        <is>
          <t>Débito</t>
        </is>
      </c>
      <c r="G421" s="3" t="inlineStr">
        <is>
          <t>Marketing e Publicidade - Sem NF</t>
        </is>
      </c>
      <c r="H421" s="3" t="inlineStr">
        <is>
          <t>2025-10</t>
        </is>
      </c>
      <c r="I421" s="3" t="n"/>
      <c r="J421" s="3" t="n"/>
    </row>
    <row r="422">
      <c r="A422" s="6" t="n">
        <v>45936</v>
      </c>
      <c r="B422" s="3" t="inlineStr">
        <is>
          <t>Marketing &amp; Growth Expenses</t>
        </is>
      </c>
      <c r="C422" s="3" t="n"/>
      <c r="D422" s="3" t="inlineStr">
        <is>
          <t>Aldeiza Carla Marcolino da Silva - Transferência | Pix</t>
        </is>
      </c>
      <c r="E422" s="3" t="n">
        <v>-403</v>
      </c>
      <c r="F422" s="3" t="inlineStr">
        <is>
          <t>Débito</t>
        </is>
      </c>
      <c r="G422" s="3" t="inlineStr">
        <is>
          <t>Marketing e Publicidade - Sem NF</t>
        </is>
      </c>
      <c r="H422" s="3" t="inlineStr">
        <is>
          <t>2025-10</t>
        </is>
      </c>
      <c r="I422" s="3" t="n"/>
      <c r="J422" s="3" t="n"/>
    </row>
    <row r="423">
      <c r="A423" s="6" t="n">
        <v>45936</v>
      </c>
      <c r="B423" s="3" t="inlineStr">
        <is>
          <t>Marketing &amp; Growth Expenses</t>
        </is>
      </c>
      <c r="C423" s="3" t="n"/>
      <c r="D423" s="3" t="inlineStr">
        <is>
          <t>Elian das Merces Ribeiro - Transferência | Pix</t>
        </is>
      </c>
      <c r="E423" s="3" t="n">
        <v>-370</v>
      </c>
      <c r="F423" s="3" t="inlineStr">
        <is>
          <t>Débito</t>
        </is>
      </c>
      <c r="G423" s="3" t="inlineStr">
        <is>
          <t>Marketing e Publicidade - Sem NF</t>
        </is>
      </c>
      <c r="H423" s="3" t="inlineStr">
        <is>
          <t>2025-10</t>
        </is>
      </c>
      <c r="I423" s="3" t="n"/>
      <c r="J423" s="3" t="n"/>
    </row>
    <row r="424">
      <c r="A424" s="6" t="n">
        <v>45936</v>
      </c>
      <c r="B424" s="3" t="inlineStr">
        <is>
          <t>Marketing &amp; Growth Expenses</t>
        </is>
      </c>
      <c r="C424" s="3" t="n"/>
      <c r="D424" s="3" t="inlineStr">
        <is>
          <t>Alan Pereira dos Anjos - Transferência | Pix</t>
        </is>
      </c>
      <c r="E424" s="3" t="n">
        <v>-2687</v>
      </c>
      <c r="F424" s="3" t="inlineStr">
        <is>
          <t>Débito</t>
        </is>
      </c>
      <c r="G424" s="3" t="inlineStr">
        <is>
          <t>Marketing e Publicidade - Sem NF</t>
        </is>
      </c>
      <c r="H424" s="3" t="inlineStr">
        <is>
          <t>2025-10</t>
        </is>
      </c>
      <c r="I424" s="3" t="n"/>
      <c r="J424" s="3" t="n"/>
    </row>
    <row r="425">
      <c r="A425" s="6" t="n">
        <v>45936</v>
      </c>
      <c r="B425" s="3" t="inlineStr">
        <is>
          <t>Marketing &amp; Growth Expenses</t>
        </is>
      </c>
      <c r="C425" s="3" t="n"/>
      <c r="D425" s="3" t="inlineStr">
        <is>
          <t>Arthur de Queiros Alves - Transferência | Pix</t>
        </is>
      </c>
      <c r="E425" s="3" t="n">
        <v>-1475.5</v>
      </c>
      <c r="F425" s="3" t="inlineStr">
        <is>
          <t>Débito</t>
        </is>
      </c>
      <c r="G425" s="3" t="inlineStr">
        <is>
          <t>Marketing e Publicidade - Sem NF</t>
        </is>
      </c>
      <c r="H425" s="3" t="inlineStr">
        <is>
          <t>2025-10</t>
        </is>
      </c>
      <c r="I425" s="3" t="n"/>
      <c r="J425" s="3" t="n"/>
    </row>
    <row r="426">
      <c r="A426" s="6" t="n">
        <v>45936</v>
      </c>
      <c r="B426" s="3" t="inlineStr">
        <is>
          <t>Marketing &amp; Growth Expenses</t>
        </is>
      </c>
      <c r="C426" s="3" t="n"/>
      <c r="D426" s="3" t="inlineStr">
        <is>
          <t>Brenda Martins Gomes - Transferência | Pix</t>
        </is>
      </c>
      <c r="E426" s="3" t="n">
        <v>-411.25</v>
      </c>
      <c r="F426" s="3" t="inlineStr">
        <is>
          <t>Débito</t>
        </is>
      </c>
      <c r="G426" s="3" t="inlineStr">
        <is>
          <t>Marketing e Publicidade - Sem NF</t>
        </is>
      </c>
      <c r="H426" s="3" t="inlineStr">
        <is>
          <t>2025-10</t>
        </is>
      </c>
      <c r="I426" s="3" t="n"/>
      <c r="J426" s="3" t="n"/>
    </row>
    <row r="427">
      <c r="A427" s="6" t="n">
        <v>45936</v>
      </c>
      <c r="B427" s="3" t="inlineStr">
        <is>
          <t>Marketing &amp; Growth Expenses</t>
        </is>
      </c>
      <c r="C427" s="3" t="n"/>
      <c r="D427" s="3" t="inlineStr">
        <is>
          <t>Evellyn Alves Melo - Transferência | Pix</t>
        </is>
      </c>
      <c r="E427" s="3" t="n">
        <v>-694.5</v>
      </c>
      <c r="F427" s="3" t="inlineStr">
        <is>
          <t>Débito</t>
        </is>
      </c>
      <c r="G427" s="3" t="inlineStr">
        <is>
          <t>Marketing e Publicidade - Sem NF</t>
        </is>
      </c>
      <c r="H427" s="3" t="inlineStr">
        <is>
          <t>2025-10</t>
        </is>
      </c>
      <c r="I427" s="3" t="n"/>
      <c r="J427" s="3" t="n"/>
    </row>
    <row r="428">
      <c r="A428" s="6" t="n">
        <v>45936</v>
      </c>
      <c r="B428" s="3" t="inlineStr">
        <is>
          <t>Marketing &amp; Growth Expenses</t>
        </is>
      </c>
      <c r="C428" s="3" t="n"/>
      <c r="D428" s="3" t="inlineStr">
        <is>
          <t>Bruno Andriata Pereira - Transferência | Pix</t>
        </is>
      </c>
      <c r="E428" s="3" t="n">
        <v>-680.75</v>
      </c>
      <c r="F428" s="3" t="inlineStr">
        <is>
          <t>Débito</t>
        </is>
      </c>
      <c r="G428" s="3" t="inlineStr">
        <is>
          <t>Marketing e Publicidade - Sem NF</t>
        </is>
      </c>
      <c r="H428" s="3" t="inlineStr">
        <is>
          <t>2025-10</t>
        </is>
      </c>
      <c r="I428" s="3" t="n"/>
      <c r="J428" s="3" t="n"/>
    </row>
    <row r="429">
      <c r="A429" s="6" t="n">
        <v>45936</v>
      </c>
      <c r="B429" s="3" t="inlineStr">
        <is>
          <t>Marketing &amp; Growth Expenses</t>
        </is>
      </c>
      <c r="C429" s="3" t="n"/>
      <c r="D429" s="3" t="inlineStr">
        <is>
          <t>Fillipe Augusto Alves Dutra - Transferência | Pix</t>
        </is>
      </c>
      <c r="E429" s="3" t="n">
        <v>-438.75</v>
      </c>
      <c r="F429" s="3" t="inlineStr">
        <is>
          <t>Débito</t>
        </is>
      </c>
      <c r="G429" s="3" t="inlineStr">
        <is>
          <t>Marketing e Publicidade - Sem NF</t>
        </is>
      </c>
      <c r="H429" s="3" t="inlineStr">
        <is>
          <t>2025-10</t>
        </is>
      </c>
      <c r="I429" s="3" t="n"/>
      <c r="J429" s="3" t="n"/>
    </row>
    <row r="430">
      <c r="A430" s="6" t="n">
        <v>45936</v>
      </c>
      <c r="B430" s="3" t="inlineStr">
        <is>
          <t>Marketing &amp; Growth Expenses</t>
        </is>
      </c>
      <c r="C430" s="3" t="n"/>
      <c r="D430" s="3" t="inlineStr">
        <is>
          <t>CLAUDIANA FERREIRA DE JESUS - Transferência | Pix</t>
        </is>
      </c>
      <c r="E430" s="3" t="n">
        <v>-449.75</v>
      </c>
      <c r="F430" s="3" t="inlineStr">
        <is>
          <t>Débito</t>
        </is>
      </c>
      <c r="G430" s="3" t="inlineStr">
        <is>
          <t>Marketing e Publicidade - Sem NF</t>
        </is>
      </c>
      <c r="H430" s="3" t="inlineStr">
        <is>
          <t>2025-10</t>
        </is>
      </c>
      <c r="I430" s="3" t="n"/>
      <c r="J430" s="3" t="n"/>
    </row>
    <row r="431">
      <c r="A431" s="6" t="n">
        <v>45936</v>
      </c>
      <c r="B431" s="3" t="inlineStr">
        <is>
          <t>Marketing &amp; Growth Expenses</t>
        </is>
      </c>
      <c r="C431" s="3" t="n"/>
      <c r="D431" s="3" t="inlineStr">
        <is>
          <t>Giulian Ellen Goulart de Sousa - Transferência | Pix</t>
        </is>
      </c>
      <c r="E431" s="3" t="n">
        <v>-535</v>
      </c>
      <c r="F431" s="3" t="inlineStr">
        <is>
          <t>Débito</t>
        </is>
      </c>
      <c r="G431" s="3" t="inlineStr">
        <is>
          <t>Marketing e Publicidade - Sem NF</t>
        </is>
      </c>
      <c r="H431" s="3" t="inlineStr">
        <is>
          <t>2025-10</t>
        </is>
      </c>
      <c r="I431" s="3" t="n"/>
      <c r="J431" s="3" t="n"/>
    </row>
    <row r="432">
      <c r="A432" s="6" t="n">
        <v>45936</v>
      </c>
      <c r="B432" s="3" t="inlineStr">
        <is>
          <t>Marketing &amp; Growth Expenses</t>
        </is>
      </c>
      <c r="C432" s="3" t="n"/>
      <c r="D432" s="3" t="inlineStr">
        <is>
          <t>GIULIA DOS SANTOS REBELLO - Transferência | Pix</t>
        </is>
      </c>
      <c r="E432" s="3" t="n">
        <v>-496.5</v>
      </c>
      <c r="F432" s="3" t="inlineStr">
        <is>
          <t>Débito</t>
        </is>
      </c>
      <c r="G432" s="3" t="inlineStr">
        <is>
          <t>Marketing e Publicidade - Sem NF</t>
        </is>
      </c>
      <c r="H432" s="3" t="inlineStr">
        <is>
          <t>2025-10</t>
        </is>
      </c>
      <c r="I432" s="3" t="n"/>
      <c r="J432" s="3" t="n"/>
    </row>
    <row r="433">
      <c r="A433" s="6" t="n">
        <v>45936</v>
      </c>
      <c r="B433" s="3" t="inlineStr">
        <is>
          <t>Marketing &amp; Growth Expenses</t>
        </is>
      </c>
      <c r="C433" s="3" t="n"/>
      <c r="D433" s="3" t="inlineStr">
        <is>
          <t>Clarita da Silva - Transferência | Pix</t>
        </is>
      </c>
      <c r="E433" s="3" t="n">
        <v>-540.5</v>
      </c>
      <c r="F433" s="3" t="inlineStr">
        <is>
          <t>Débito</t>
        </is>
      </c>
      <c r="G433" s="3" t="inlineStr">
        <is>
          <t>Marketing e Publicidade - Sem NF</t>
        </is>
      </c>
      <c r="H433" s="3" t="inlineStr">
        <is>
          <t>2025-10</t>
        </is>
      </c>
      <c r="I433" s="3" t="n"/>
      <c r="J433" s="3" t="n"/>
    </row>
    <row r="434">
      <c r="A434" s="6" t="n">
        <v>45936</v>
      </c>
      <c r="B434" s="3" t="inlineStr">
        <is>
          <t>Marketing &amp; Growth Expenses</t>
        </is>
      </c>
      <c r="C434" s="3" t="n"/>
      <c r="D434" s="3" t="inlineStr">
        <is>
          <t>DANILO PEREIRA DOS ANJOS - Transferência | Pix</t>
        </is>
      </c>
      <c r="E434" s="3" t="n">
        <v>-768.75</v>
      </c>
      <c r="F434" s="3" t="inlineStr">
        <is>
          <t>Débito</t>
        </is>
      </c>
      <c r="G434" s="3" t="inlineStr">
        <is>
          <t>Marketing e Publicidade - Sem NF</t>
        </is>
      </c>
      <c r="H434" s="3" t="inlineStr">
        <is>
          <t>2025-10</t>
        </is>
      </c>
      <c r="I434" s="3" t="n"/>
      <c r="J434" s="3" t="n"/>
    </row>
    <row r="435">
      <c r="A435" s="6" t="n">
        <v>45936</v>
      </c>
      <c r="B435" s="3" t="inlineStr">
        <is>
          <t>Marketing &amp; Growth Expenses</t>
        </is>
      </c>
      <c r="C435" s="3" t="n"/>
      <c r="D435" s="3" t="inlineStr">
        <is>
          <t>GUSTAVO CRUZ SILVA - Transferência | Pix</t>
        </is>
      </c>
      <c r="E435" s="3" t="n">
        <v>-947.5</v>
      </c>
      <c r="F435" s="3" t="inlineStr">
        <is>
          <t>Débito</t>
        </is>
      </c>
      <c r="G435" s="3" t="inlineStr">
        <is>
          <t>Marketing e Publicidade - Sem NF</t>
        </is>
      </c>
      <c r="H435" s="3" t="inlineStr">
        <is>
          <t>2025-10</t>
        </is>
      </c>
      <c r="I435" s="3" t="n"/>
      <c r="J435" s="3" t="n"/>
    </row>
    <row r="436">
      <c r="A436" s="6" t="n">
        <v>45936</v>
      </c>
      <c r="B436" s="3" t="inlineStr">
        <is>
          <t>Marketing &amp; Growth Expenses</t>
        </is>
      </c>
      <c r="C436" s="3" t="n"/>
      <c r="D436" s="3" t="inlineStr">
        <is>
          <t>Clarice dos Santos Ferreira Cruz - Transferência | Pix</t>
        </is>
      </c>
      <c r="E436" s="3" t="n">
        <v>-513</v>
      </c>
      <c r="F436" s="3" t="inlineStr">
        <is>
          <t>Débito</t>
        </is>
      </c>
      <c r="G436" s="3" t="inlineStr">
        <is>
          <t>Marketing e Publicidade - Sem NF</t>
        </is>
      </c>
      <c r="H436" s="3" t="inlineStr">
        <is>
          <t>2025-10</t>
        </is>
      </c>
      <c r="I436" s="3" t="n"/>
      <c r="J436" s="3" t="n"/>
    </row>
    <row r="437">
      <c r="A437" s="6" t="n">
        <v>45936</v>
      </c>
      <c r="B437" s="3" t="inlineStr">
        <is>
          <t>Marketing &amp; Growth Expenses</t>
        </is>
      </c>
      <c r="C437" s="3" t="n"/>
      <c r="D437" s="3" t="inlineStr">
        <is>
          <t>Gabriel Santos de Freitas - Transferência | Pix</t>
        </is>
      </c>
      <c r="E437" s="3" t="n">
        <v>-1096</v>
      </c>
      <c r="F437" s="3" t="inlineStr">
        <is>
          <t>Débito</t>
        </is>
      </c>
      <c r="G437" s="3" t="inlineStr">
        <is>
          <t>Marketing e Publicidade - Sem NF</t>
        </is>
      </c>
      <c r="H437" s="3" t="inlineStr">
        <is>
          <t>2025-10</t>
        </is>
      </c>
      <c r="I437" s="3" t="n"/>
      <c r="J437" s="3" t="n"/>
    </row>
    <row r="438">
      <c r="A438" s="6" t="n">
        <v>45936</v>
      </c>
      <c r="B438" s="3" t="inlineStr">
        <is>
          <t>Marketing &amp; Growth Expenses</t>
        </is>
      </c>
      <c r="C438" s="3" t="n"/>
      <c r="D438" s="3" t="inlineStr">
        <is>
          <t>Dalva Alves Costa - Transferência | Pix</t>
        </is>
      </c>
      <c r="E438" s="3" t="n">
        <v>-1107</v>
      </c>
      <c r="F438" s="3" t="inlineStr">
        <is>
          <t>Débito</t>
        </is>
      </c>
      <c r="G438" s="3" t="inlineStr">
        <is>
          <t>Marketing e Publicidade - Sem NF</t>
        </is>
      </c>
      <c r="H438" s="3" t="inlineStr">
        <is>
          <t>2025-10</t>
        </is>
      </c>
      <c r="I438" s="3" t="n"/>
      <c r="J438" s="3" t="n"/>
    </row>
    <row r="439">
      <c r="A439" s="6" t="n">
        <v>45936</v>
      </c>
      <c r="B439" s="3" t="inlineStr">
        <is>
          <t>Marketing &amp; Growth Expenses</t>
        </is>
      </c>
      <c r="C439" s="3" t="n"/>
      <c r="D439" s="3" t="inlineStr">
        <is>
          <t>Delcinir Gomes Ribeiro - Transferência | Pix</t>
        </is>
      </c>
      <c r="E439" s="3" t="n">
        <v>-400.25</v>
      </c>
      <c r="F439" s="3" t="inlineStr">
        <is>
          <t>Débito</t>
        </is>
      </c>
      <c r="G439" s="3" t="inlineStr">
        <is>
          <t>Marketing e Publicidade - Sem NF</t>
        </is>
      </c>
      <c r="H439" s="3" t="inlineStr">
        <is>
          <t>2025-10</t>
        </is>
      </c>
      <c r="I439" s="3" t="n"/>
      <c r="J439" s="3" t="n"/>
    </row>
    <row r="440">
      <c r="A440" s="6" t="n">
        <v>45936</v>
      </c>
      <c r="B440" s="3" t="inlineStr">
        <is>
          <t>Marketing &amp; Growth Expenses</t>
        </is>
      </c>
      <c r="C440" s="3" t="n"/>
      <c r="D440" s="3" t="inlineStr">
        <is>
          <t>Hanna Gabrielle Ferreira Dos Santos - Transferência | Pix</t>
        </is>
      </c>
      <c r="E440" s="3" t="n">
        <v>-543.25</v>
      </c>
      <c r="F440" s="3" t="inlineStr">
        <is>
          <t>Débito</t>
        </is>
      </c>
      <c r="G440" s="3" t="inlineStr">
        <is>
          <t>Marketing e Publicidade - Sem NF</t>
        </is>
      </c>
      <c r="H440" s="3" t="inlineStr">
        <is>
          <t>2025-10</t>
        </is>
      </c>
      <c r="I440" s="3" t="n"/>
      <c r="J440" s="3" t="n"/>
    </row>
    <row r="441">
      <c r="A441" s="6" t="n">
        <v>45936</v>
      </c>
      <c r="B441" s="3" t="inlineStr">
        <is>
          <t>Marketing &amp; Growth Expenses</t>
        </is>
      </c>
      <c r="C441" s="3" t="n"/>
      <c r="D441" s="3" t="inlineStr">
        <is>
          <t>HEITOR TERUO SHIMAMURA SIMIZU - Transferência | Pix</t>
        </is>
      </c>
      <c r="E441" s="3" t="n">
        <v>-460.75</v>
      </c>
      <c r="F441" s="3" t="inlineStr">
        <is>
          <t>Débito</t>
        </is>
      </c>
      <c r="G441" s="3" t="inlineStr">
        <is>
          <t>Marketing e Publicidade - Sem NF</t>
        </is>
      </c>
      <c r="H441" s="3" t="inlineStr">
        <is>
          <t>2025-10</t>
        </is>
      </c>
      <c r="I441" s="3" t="n"/>
      <c r="J441" s="3" t="n"/>
    </row>
    <row r="442">
      <c r="A442" s="6" t="n">
        <v>45936</v>
      </c>
      <c r="B442" s="3" t="inlineStr">
        <is>
          <t>Marketing &amp; Growth Expenses</t>
        </is>
      </c>
      <c r="C442" s="3" t="n"/>
      <c r="D442" s="3" t="inlineStr">
        <is>
          <t>Higor Natan Costa Barbosa - Transferência | Pix</t>
        </is>
      </c>
      <c r="E442" s="3" t="n">
        <v>-2215.25</v>
      </c>
      <c r="F442" s="3" t="inlineStr">
        <is>
          <t>Débito</t>
        </is>
      </c>
      <c r="G442" s="3" t="inlineStr">
        <is>
          <t>Marketing e Publicidade - Sem NF</t>
        </is>
      </c>
      <c r="H442" s="3" t="inlineStr">
        <is>
          <t>2025-10</t>
        </is>
      </c>
      <c r="I442" s="3" t="n"/>
      <c r="J442" s="3" t="n"/>
    </row>
    <row r="443">
      <c r="A443" s="6" t="n">
        <v>45936</v>
      </c>
      <c r="B443" s="3" t="inlineStr">
        <is>
          <t>Marketing &amp; Growth Expenses</t>
        </is>
      </c>
      <c r="C443" s="3" t="n"/>
      <c r="D443" s="3" t="inlineStr">
        <is>
          <t>ITATIARA CAETANO CRUZ - Transferência | Pix</t>
        </is>
      </c>
      <c r="E443" s="3" t="n">
        <v>-880.25</v>
      </c>
      <c r="F443" s="3" t="inlineStr">
        <is>
          <t>Débito</t>
        </is>
      </c>
      <c r="G443" s="3" t="inlineStr">
        <is>
          <t>Marketing e Publicidade - Sem NF</t>
        </is>
      </c>
      <c r="H443" s="3" t="inlineStr">
        <is>
          <t>2025-10</t>
        </is>
      </c>
      <c r="I443" s="3" t="n"/>
      <c r="J443" s="3" t="n"/>
    </row>
    <row r="444">
      <c r="A444" s="6" t="n">
        <v>45936</v>
      </c>
      <c r="B444" s="3" t="inlineStr">
        <is>
          <t>Marketing &amp; Growth Expenses</t>
        </is>
      </c>
      <c r="C444" s="3" t="n"/>
      <c r="D444" s="3" t="inlineStr">
        <is>
          <t>JOAO VICENTE NEVES PIMENTA - Transferência | Pix</t>
        </is>
      </c>
      <c r="E444" s="3" t="n">
        <v>-515.75</v>
      </c>
      <c r="F444" s="3" t="inlineStr">
        <is>
          <t>Débito</t>
        </is>
      </c>
      <c r="G444" s="3" t="inlineStr">
        <is>
          <t>Marketing e Publicidade - Sem NF</t>
        </is>
      </c>
      <c r="H444" s="3" t="inlineStr">
        <is>
          <t>2025-10</t>
        </is>
      </c>
      <c r="I444" s="3" t="n"/>
      <c r="J444" s="3" t="n"/>
    </row>
    <row r="445">
      <c r="A445" s="6" t="n">
        <v>45936</v>
      </c>
      <c r="B445" s="3" t="inlineStr">
        <is>
          <t>Marketing &amp; Growth Expenses</t>
        </is>
      </c>
      <c r="C445" s="3" t="n"/>
      <c r="D445" s="3" t="inlineStr">
        <is>
          <t>Joao Gabriel Santos Ferreira - Transferência | Pix</t>
        </is>
      </c>
      <c r="E445" s="3" t="n">
        <v>-856.75</v>
      </c>
      <c r="F445" s="3" t="inlineStr">
        <is>
          <t>Débito</t>
        </is>
      </c>
      <c r="G445" s="3" t="inlineStr">
        <is>
          <t>Marketing e Publicidade - Sem NF</t>
        </is>
      </c>
      <c r="H445" s="3" t="inlineStr">
        <is>
          <t>2025-10</t>
        </is>
      </c>
      <c r="I445" s="3" t="n"/>
      <c r="J445" s="3" t="n"/>
    </row>
    <row r="446">
      <c r="A446" s="6" t="n">
        <v>45936</v>
      </c>
      <c r="B446" s="3" t="inlineStr">
        <is>
          <t>Marketing &amp; Growth Expenses</t>
        </is>
      </c>
      <c r="C446" s="3" t="n"/>
      <c r="D446" s="3" t="inlineStr">
        <is>
          <t>JOSE HENRIQUE MATIAS FERNANDES - Transferência | Pix</t>
        </is>
      </c>
      <c r="E446" s="3" t="n">
        <v>-625.75</v>
      </c>
      <c r="F446" s="3" t="inlineStr">
        <is>
          <t>Débito</t>
        </is>
      </c>
      <c r="G446" s="3" t="inlineStr">
        <is>
          <t>Marketing e Publicidade - Sem NF</t>
        </is>
      </c>
      <c r="H446" s="3" t="inlineStr">
        <is>
          <t>2025-10</t>
        </is>
      </c>
      <c r="I446" s="3" t="n"/>
      <c r="J446" s="3" t="n"/>
    </row>
    <row r="447">
      <c r="A447" s="6" t="n">
        <v>45936</v>
      </c>
      <c r="B447" s="3" t="inlineStr">
        <is>
          <t>Marketing &amp; Growth Expenses</t>
        </is>
      </c>
      <c r="C447" s="3" t="n"/>
      <c r="D447" s="3" t="inlineStr">
        <is>
          <t>JULIA CAMPOS DA SILVA DE OLIVEIRA - Transferência | Pix</t>
        </is>
      </c>
      <c r="E447" s="3" t="n">
        <v>-510.25</v>
      </c>
      <c r="F447" s="3" t="inlineStr">
        <is>
          <t>Débito</t>
        </is>
      </c>
      <c r="G447" s="3" t="inlineStr">
        <is>
          <t>Marketing e Publicidade - Sem NF</t>
        </is>
      </c>
      <c r="H447" s="3" t="inlineStr">
        <is>
          <t>2025-10</t>
        </is>
      </c>
      <c r="I447" s="3" t="n"/>
      <c r="J447" s="3" t="n"/>
    </row>
    <row r="448">
      <c r="A448" s="6" t="n">
        <v>45936</v>
      </c>
      <c r="B448" s="3" t="inlineStr">
        <is>
          <t>Marketing &amp; Growth Expenses</t>
        </is>
      </c>
      <c r="C448" s="3" t="n"/>
      <c r="D448" s="3" t="inlineStr">
        <is>
          <t>Joao Pedro Mattos Pinheiro da Silva - Transferência | Pix</t>
        </is>
      </c>
      <c r="E448" s="3" t="n">
        <v>-598.25</v>
      </c>
      <c r="F448" s="3" t="inlineStr">
        <is>
          <t>Débito</t>
        </is>
      </c>
      <c r="G448" s="3" t="inlineStr">
        <is>
          <t>Marketing e Publicidade - Sem NF</t>
        </is>
      </c>
      <c r="H448" s="3" t="inlineStr">
        <is>
          <t>2025-10</t>
        </is>
      </c>
      <c r="I448" s="3" t="n"/>
      <c r="J448" s="3" t="n"/>
    </row>
    <row r="449">
      <c r="A449" s="6" t="n">
        <v>45936</v>
      </c>
      <c r="B449" s="3" t="inlineStr">
        <is>
          <t>Marketing &amp; Growth Expenses</t>
        </is>
      </c>
      <c r="C449" s="3" t="n"/>
      <c r="D449" s="3" t="inlineStr">
        <is>
          <t>Joao Vitor Nascimento de Araujo - Transferência | Pix</t>
        </is>
      </c>
      <c r="E449" s="3" t="n">
        <v>-416.75</v>
      </c>
      <c r="F449" s="3" t="inlineStr">
        <is>
          <t>Débito</t>
        </is>
      </c>
      <c r="G449" s="3" t="inlineStr">
        <is>
          <t>Marketing e Publicidade - Sem NF</t>
        </is>
      </c>
      <c r="H449" s="3" t="inlineStr">
        <is>
          <t>2025-10</t>
        </is>
      </c>
      <c r="I449" s="3" t="n"/>
      <c r="J449" s="3" t="n"/>
    </row>
    <row r="450">
      <c r="A450" s="6" t="n">
        <v>45936</v>
      </c>
      <c r="B450" s="3" t="inlineStr">
        <is>
          <t>Marketing &amp; Growth Expenses</t>
        </is>
      </c>
      <c r="C450" s="3" t="n"/>
      <c r="D450" s="3" t="inlineStr">
        <is>
          <t>LARISSA DA SILVA BARBOZA - Transferência | Pix</t>
        </is>
      </c>
      <c r="E450" s="3" t="n">
        <v>-463.5</v>
      </c>
      <c r="F450" s="3" t="inlineStr">
        <is>
          <t>Débito</t>
        </is>
      </c>
      <c r="G450" s="3" t="inlineStr">
        <is>
          <t>Marketing e Publicidade - Sem NF</t>
        </is>
      </c>
      <c r="H450" s="3" t="inlineStr">
        <is>
          <t>2025-10</t>
        </is>
      </c>
      <c r="I450" s="3" t="n"/>
      <c r="J450" s="3" t="n"/>
    </row>
    <row r="451">
      <c r="A451" s="6" t="n">
        <v>45936</v>
      </c>
      <c r="B451" s="3" t="inlineStr">
        <is>
          <t>Marketing &amp; Growth Expenses</t>
        </is>
      </c>
      <c r="C451" s="3" t="n"/>
      <c r="D451" s="3" t="inlineStr">
        <is>
          <t>Jeferson Herdy da Silva Souza - Transferência | Pix</t>
        </is>
      </c>
      <c r="E451" s="3" t="n">
        <v>-505</v>
      </c>
      <c r="F451" s="3" t="inlineStr">
        <is>
          <t>Débito</t>
        </is>
      </c>
      <c r="G451" s="3" t="inlineStr">
        <is>
          <t>Marketing e Publicidade - Sem NF</t>
        </is>
      </c>
      <c r="H451" s="3" t="inlineStr">
        <is>
          <t>2025-10</t>
        </is>
      </c>
      <c r="I451" s="3" t="n"/>
      <c r="J451" s="3" t="n"/>
    </row>
    <row r="452">
      <c r="A452" s="6" t="n">
        <v>45936</v>
      </c>
      <c r="B452" s="3" t="inlineStr">
        <is>
          <t>Marketing &amp; Growth Expenses</t>
        </is>
      </c>
      <c r="C452" s="3" t="n"/>
      <c r="D452" s="3" t="inlineStr">
        <is>
          <t>Janaina Campos da Silva de Oliveira - Transferência | Pix</t>
        </is>
      </c>
      <c r="E452" s="3" t="n">
        <v>-425</v>
      </c>
      <c r="F452" s="3" t="inlineStr">
        <is>
          <t>Débito</t>
        </is>
      </c>
      <c r="G452" s="3" t="inlineStr">
        <is>
          <t>Marketing e Publicidade - Sem NF</t>
        </is>
      </c>
      <c r="H452" s="3" t="inlineStr">
        <is>
          <t>2025-10</t>
        </is>
      </c>
      <c r="I452" s="3" t="n"/>
      <c r="J452" s="3" t="n"/>
    </row>
    <row r="453">
      <c r="A453" s="6" t="n">
        <v>45936</v>
      </c>
      <c r="B453" s="3" t="inlineStr">
        <is>
          <t>Marketing &amp; Growth Expenses</t>
        </is>
      </c>
      <c r="C453" s="3" t="n"/>
      <c r="D453" s="3" t="inlineStr">
        <is>
          <t>LUIZ EDUARDO BARBOSA LIMA - Transferência | Pix</t>
        </is>
      </c>
      <c r="E453" s="3" t="n">
        <v>-469</v>
      </c>
      <c r="F453" s="3" t="inlineStr">
        <is>
          <t>Débito</t>
        </is>
      </c>
      <c r="G453" s="3" t="inlineStr">
        <is>
          <t>Marketing e Publicidade - Sem NF</t>
        </is>
      </c>
      <c r="H453" s="3" t="inlineStr">
        <is>
          <t>2025-10</t>
        </is>
      </c>
      <c r="I453" s="3" t="n"/>
      <c r="J453" s="3" t="n"/>
    </row>
    <row r="454">
      <c r="A454" s="6" t="n">
        <v>45936</v>
      </c>
      <c r="B454" s="3" t="inlineStr">
        <is>
          <t>Marketing &amp; Growth Expenses</t>
        </is>
      </c>
      <c r="C454" s="3" t="n"/>
      <c r="D454" s="3" t="inlineStr">
        <is>
          <t>Leticia Mora Carretero - Transferência | Pix</t>
        </is>
      </c>
      <c r="E454" s="3" t="n">
        <v>-535</v>
      </c>
      <c r="F454" s="3" t="inlineStr">
        <is>
          <t>Débito</t>
        </is>
      </c>
      <c r="G454" s="3" t="inlineStr">
        <is>
          <t>Marketing e Publicidade - Sem NF</t>
        </is>
      </c>
      <c r="H454" s="3" t="inlineStr">
        <is>
          <t>2025-10</t>
        </is>
      </c>
      <c r="I454" s="3" t="n"/>
      <c r="J454" s="3" t="n"/>
    </row>
    <row r="455">
      <c r="A455" s="6" t="n">
        <v>45936</v>
      </c>
      <c r="B455" s="3" t="inlineStr">
        <is>
          <t>Marketing &amp; Growth Expenses</t>
        </is>
      </c>
      <c r="C455" s="3" t="n"/>
      <c r="D455" s="3" t="inlineStr">
        <is>
          <t>Luis Fernando Silva Paiva - Transferência | Pix</t>
        </is>
      </c>
      <c r="E455" s="3" t="n">
        <v>-419.5</v>
      </c>
      <c r="F455" s="3" t="inlineStr">
        <is>
          <t>Débito</t>
        </is>
      </c>
      <c r="G455" s="3" t="inlineStr">
        <is>
          <t>Marketing e Publicidade - Sem NF</t>
        </is>
      </c>
      <c r="H455" s="3" t="inlineStr">
        <is>
          <t>2025-10</t>
        </is>
      </c>
      <c r="I455" s="3" t="n"/>
      <c r="J455" s="3" t="n"/>
    </row>
    <row r="456">
      <c r="A456" s="6" t="n">
        <v>45936</v>
      </c>
      <c r="B456" s="3" t="inlineStr">
        <is>
          <t>Marketing &amp; Growth Expenses</t>
        </is>
      </c>
      <c r="C456" s="3" t="n"/>
      <c r="D456" s="3" t="inlineStr">
        <is>
          <t>MATHEUS CUFFARI PEREIRA - Transferência | Pix</t>
        </is>
      </c>
      <c r="E456" s="3" t="n">
        <v>-460.75</v>
      </c>
      <c r="F456" s="3" t="inlineStr">
        <is>
          <t>Débito</t>
        </is>
      </c>
      <c r="G456" s="3" t="inlineStr">
        <is>
          <t>Marketing e Publicidade - Sem NF</t>
        </is>
      </c>
      <c r="H456" s="3" t="inlineStr">
        <is>
          <t>2025-10</t>
        </is>
      </c>
      <c r="I456" s="3" t="n"/>
      <c r="J456" s="3" t="n"/>
    </row>
    <row r="457">
      <c r="A457" s="6" t="n">
        <v>45936</v>
      </c>
      <c r="B457" s="3" t="inlineStr">
        <is>
          <t>Marketing &amp; Growth Expenses</t>
        </is>
      </c>
      <c r="C457" s="3" t="n"/>
      <c r="D457" s="3" t="inlineStr">
        <is>
          <t>MATHEUS HERDY DA SILVA DE SOUZA - Transferência | Pix</t>
        </is>
      </c>
      <c r="E457" s="3" t="n">
        <v>-537.75</v>
      </c>
      <c r="F457" s="3" t="inlineStr">
        <is>
          <t>Débito</t>
        </is>
      </c>
      <c r="G457" s="3" t="inlineStr">
        <is>
          <t>Marketing e Publicidade - Sem NF</t>
        </is>
      </c>
      <c r="H457" s="3" t="inlineStr">
        <is>
          <t>2025-10</t>
        </is>
      </c>
      <c r="I457" s="3" t="n"/>
      <c r="J457" s="3" t="n"/>
    </row>
    <row r="458">
      <c r="A458" s="6" t="n">
        <v>45936</v>
      </c>
      <c r="B458" s="3" t="inlineStr">
        <is>
          <t>Marketing &amp; Growth Expenses</t>
        </is>
      </c>
      <c r="C458" s="3" t="n"/>
      <c r="D458" s="3" t="inlineStr">
        <is>
          <t>Maiane Isla Cunha Carvalho - Transferência | Pix</t>
        </is>
      </c>
      <c r="E458" s="3" t="n">
        <v>-1299.5</v>
      </c>
      <c r="F458" s="3" t="inlineStr">
        <is>
          <t>Débito</t>
        </is>
      </c>
      <c r="G458" s="3" t="inlineStr">
        <is>
          <t>Marketing e Publicidade - Sem NF</t>
        </is>
      </c>
      <c r="H458" s="3" t="inlineStr">
        <is>
          <t>2025-10</t>
        </is>
      </c>
      <c r="I458" s="3" t="n"/>
      <c r="J458" s="3" t="n"/>
    </row>
    <row r="459">
      <c r="A459" s="6" t="n">
        <v>45936</v>
      </c>
      <c r="B459" s="3" t="inlineStr">
        <is>
          <t>Marketing &amp; Growth Expenses</t>
        </is>
      </c>
      <c r="C459" s="3" t="n"/>
      <c r="D459" s="3" t="inlineStr">
        <is>
          <t>Monielly Gomes Monteiro - Transferência | Pix</t>
        </is>
      </c>
      <c r="E459" s="3" t="n">
        <v>-436</v>
      </c>
      <c r="F459" s="3" t="inlineStr">
        <is>
          <t>Débito</t>
        </is>
      </c>
      <c r="G459" s="3" t="inlineStr">
        <is>
          <t>Marketing e Publicidade - Sem NF</t>
        </is>
      </c>
      <c r="H459" s="3" t="inlineStr">
        <is>
          <t>2025-10</t>
        </is>
      </c>
      <c r="I459" s="3" t="n"/>
      <c r="J459" s="3" t="n"/>
    </row>
    <row r="460">
      <c r="A460" s="6" t="n">
        <v>45936</v>
      </c>
      <c r="B460" s="3" t="inlineStr">
        <is>
          <t>Marketing &amp; Growth Expenses</t>
        </is>
      </c>
      <c r="C460" s="3" t="n"/>
      <c r="D460" s="3" t="inlineStr">
        <is>
          <t>Nicoly Goncalves de Oliveira Silva - Transferência | Pix</t>
        </is>
      </c>
      <c r="E460" s="3" t="n">
        <v>-405.75</v>
      </c>
      <c r="F460" s="3" t="inlineStr">
        <is>
          <t>Débito</t>
        </is>
      </c>
      <c r="G460" s="3" t="inlineStr">
        <is>
          <t>Marketing e Publicidade - Sem NF</t>
        </is>
      </c>
      <c r="H460" s="3" t="inlineStr">
        <is>
          <t>2025-10</t>
        </is>
      </c>
      <c r="I460" s="3" t="n"/>
      <c r="J460" s="3" t="n"/>
    </row>
    <row r="461">
      <c r="A461" s="6" t="n">
        <v>45936</v>
      </c>
      <c r="B461" s="3" t="inlineStr">
        <is>
          <t>Marketing &amp; Growth Expenses</t>
        </is>
      </c>
      <c r="C461" s="3" t="n"/>
      <c r="D461" s="3" t="inlineStr">
        <is>
          <t>PEDRO HENRIQUE BOARATI DE OLIVEIRA - Transferência | Pix</t>
        </is>
      </c>
      <c r="E461" s="3" t="n">
        <v>-411.5</v>
      </c>
      <c r="F461" s="3" t="inlineStr">
        <is>
          <t>Débito</t>
        </is>
      </c>
      <c r="G461" s="3" t="inlineStr">
        <is>
          <t>Marketing e Publicidade - Sem NF</t>
        </is>
      </c>
      <c r="H461" s="3" t="inlineStr">
        <is>
          <t>2025-10</t>
        </is>
      </c>
      <c r="I461" s="3" t="n"/>
      <c r="J461" s="3" t="n"/>
    </row>
    <row r="462">
      <c r="A462" s="6" t="n">
        <v>45936</v>
      </c>
      <c r="B462" s="3" t="inlineStr">
        <is>
          <t>Marketing &amp; Growth Expenses</t>
        </is>
      </c>
      <c r="C462" s="3" t="n"/>
      <c r="D462" s="3" t="inlineStr">
        <is>
          <t>PEDRO HENRIQUE BOARATI DE OLIVEIRA - Transferência | Pix</t>
        </is>
      </c>
      <c r="E462" s="3" t="n">
        <v>-403</v>
      </c>
      <c r="F462" s="3" t="inlineStr">
        <is>
          <t>Débito</t>
        </is>
      </c>
      <c r="G462" s="3" t="inlineStr">
        <is>
          <t>Marketing e Publicidade - Sem NF</t>
        </is>
      </c>
      <c r="H462" s="3" t="inlineStr">
        <is>
          <t>2025-10</t>
        </is>
      </c>
      <c r="I462" s="3" t="n"/>
      <c r="J462" s="3" t="n"/>
    </row>
    <row r="463">
      <c r="A463" s="6" t="n">
        <v>45936</v>
      </c>
      <c r="B463" s="3" t="inlineStr">
        <is>
          <t>Marketing &amp; Growth Expenses</t>
        </is>
      </c>
      <c r="C463" s="3" t="n"/>
      <c r="D463" s="3" t="inlineStr">
        <is>
          <t>Mylenna da Silva de Lima - Transferência | Pix</t>
        </is>
      </c>
      <c r="E463" s="3" t="n">
        <v>-755</v>
      </c>
      <c r="F463" s="3" t="inlineStr">
        <is>
          <t>Débito</t>
        </is>
      </c>
      <c r="G463" s="3" t="inlineStr">
        <is>
          <t>Marketing e Publicidade - Sem NF</t>
        </is>
      </c>
      <c r="H463" s="3" t="inlineStr">
        <is>
          <t>2025-10</t>
        </is>
      </c>
      <c r="I463" s="3" t="n"/>
      <c r="J463" s="3" t="n"/>
    </row>
    <row r="464">
      <c r="A464" s="6" t="n">
        <v>45936</v>
      </c>
      <c r="B464" s="3" t="inlineStr">
        <is>
          <t>Marketing &amp; Growth Expenses</t>
        </is>
      </c>
      <c r="C464" s="3" t="n"/>
      <c r="D464" s="3" t="inlineStr">
        <is>
          <t>RAPHAEL AUGUSTO DO PRADO ALVES SANTOS - Transferência | Pix</t>
        </is>
      </c>
      <c r="E464" s="3" t="n">
        <v>-625.75</v>
      </c>
      <c r="F464" s="3" t="inlineStr">
        <is>
          <t>Débito</t>
        </is>
      </c>
      <c r="G464" s="3" t="inlineStr">
        <is>
          <t>Marketing e Publicidade - Sem NF</t>
        </is>
      </c>
      <c r="H464" s="3" t="inlineStr">
        <is>
          <t>2025-10</t>
        </is>
      </c>
      <c r="I464" s="3" t="n"/>
      <c r="J464" s="3" t="n"/>
    </row>
    <row r="465">
      <c r="A465" s="6" t="n">
        <v>45936</v>
      </c>
      <c r="B465" s="3" t="inlineStr">
        <is>
          <t>Marketing &amp; Growth Expenses</t>
        </is>
      </c>
      <c r="C465" s="3" t="n"/>
      <c r="D465" s="3" t="inlineStr">
        <is>
          <t>Paulo Sergio de Oliveira Filho - Transferência | Pix</t>
        </is>
      </c>
      <c r="E465" s="3" t="n">
        <v>-719.25</v>
      </c>
      <c r="F465" s="3" t="inlineStr">
        <is>
          <t>Débito</t>
        </is>
      </c>
      <c r="G465" s="3" t="inlineStr">
        <is>
          <t>Marketing e Publicidade - Sem NF</t>
        </is>
      </c>
      <c r="H465" s="3" t="inlineStr">
        <is>
          <t>2025-10</t>
        </is>
      </c>
      <c r="I465" s="3" t="n"/>
      <c r="J465" s="3" t="n"/>
    </row>
    <row r="466">
      <c r="A466" s="6" t="n">
        <v>45936</v>
      </c>
      <c r="B466" s="3" t="inlineStr">
        <is>
          <t>Marketing &amp; Growth Expenses</t>
        </is>
      </c>
      <c r="C466" s="3" t="n"/>
      <c r="D466" s="3" t="inlineStr">
        <is>
          <t>RODRIGO DE OLIVEIRA ROBERTO - Transferência | Pix</t>
        </is>
      </c>
      <c r="E466" s="3" t="n">
        <v>-741.25</v>
      </c>
      <c r="F466" s="3" t="inlineStr">
        <is>
          <t>Débito</t>
        </is>
      </c>
      <c r="G466" s="3" t="inlineStr">
        <is>
          <t>Marketing e Publicidade - Sem NF</t>
        </is>
      </c>
      <c r="H466" s="3" t="inlineStr">
        <is>
          <t>2025-10</t>
        </is>
      </c>
      <c r="I466" s="3" t="n"/>
      <c r="J466" s="3" t="n"/>
    </row>
    <row r="467">
      <c r="A467" s="6" t="n">
        <v>45936</v>
      </c>
      <c r="B467" s="3" t="inlineStr">
        <is>
          <t>Marketing &amp; Growth Expenses</t>
        </is>
      </c>
      <c r="C467" s="3" t="n"/>
      <c r="D467" s="3" t="inlineStr">
        <is>
          <t>Nathalia Cristina Lucas Elias - Transferência | Pix</t>
        </is>
      </c>
      <c r="E467" s="3" t="n">
        <v>-427.75</v>
      </c>
      <c r="F467" s="3" t="inlineStr">
        <is>
          <t>Débito</t>
        </is>
      </c>
      <c r="G467" s="3" t="inlineStr">
        <is>
          <t>Marketing e Publicidade - Sem NF</t>
        </is>
      </c>
      <c r="H467" s="3" t="inlineStr">
        <is>
          <t>2025-10</t>
        </is>
      </c>
      <c r="I467" s="3" t="n"/>
      <c r="J467" s="3" t="n"/>
    </row>
    <row r="468">
      <c r="A468" s="6" t="n">
        <v>45936</v>
      </c>
      <c r="B468" s="3" t="inlineStr">
        <is>
          <t>Marketing &amp; Growth Expenses</t>
        </is>
      </c>
      <c r="C468" s="3" t="n"/>
      <c r="D468" s="3" t="inlineStr">
        <is>
          <t>RYAN TAVARES ARAUJO - Transferência | Pix</t>
        </is>
      </c>
      <c r="E468" s="3" t="n">
        <v>-977.75</v>
      </c>
      <c r="F468" s="3" t="inlineStr">
        <is>
          <t>Débito</t>
        </is>
      </c>
      <c r="G468" s="3" t="inlineStr">
        <is>
          <t>Marketing e Publicidade - Sem NF</t>
        </is>
      </c>
      <c r="H468" s="3" t="inlineStr">
        <is>
          <t>2025-10</t>
        </is>
      </c>
      <c r="I468" s="3" t="n"/>
      <c r="J468" s="3" t="n"/>
    </row>
    <row r="469">
      <c r="A469" s="6" t="n">
        <v>45936</v>
      </c>
      <c r="B469" s="3" t="inlineStr">
        <is>
          <t>Marketing &amp; Growth Expenses</t>
        </is>
      </c>
      <c r="C469" s="3" t="n"/>
      <c r="D469" s="3" t="inlineStr">
        <is>
          <t>THALGY DE OLIVEIRA LINO - Transferência | Pix</t>
        </is>
      </c>
      <c r="E469" s="3" t="n">
        <v>-526.75</v>
      </c>
      <c r="F469" s="3" t="inlineStr">
        <is>
          <t>Débito</t>
        </is>
      </c>
      <c r="G469" s="3" t="inlineStr">
        <is>
          <t>Marketing e Publicidade - Sem NF</t>
        </is>
      </c>
      <c r="H469" s="3" t="inlineStr">
        <is>
          <t>2025-10</t>
        </is>
      </c>
      <c r="I469" s="3" t="n"/>
      <c r="J469" s="3" t="n"/>
    </row>
    <row r="470">
      <c r="A470" s="6" t="n">
        <v>45936</v>
      </c>
      <c r="B470" s="3" t="inlineStr">
        <is>
          <t>Marketing &amp; Growth Expenses</t>
        </is>
      </c>
      <c r="C470" s="3" t="n"/>
      <c r="D470" s="3" t="inlineStr">
        <is>
          <t>Tiago Macedo Lima - Transferência | Pix</t>
        </is>
      </c>
      <c r="E470" s="3" t="n">
        <v>-416.75</v>
      </c>
      <c r="F470" s="3" t="inlineStr">
        <is>
          <t>Débito</t>
        </is>
      </c>
      <c r="G470" s="3" t="inlineStr">
        <is>
          <t>Marketing e Publicidade - Sem NF</t>
        </is>
      </c>
      <c r="H470" s="3" t="inlineStr">
        <is>
          <t>2025-10</t>
        </is>
      </c>
      <c r="I470" s="3" t="n"/>
      <c r="J470" s="3" t="n"/>
    </row>
    <row r="471">
      <c r="A471" s="6" t="n">
        <v>45936</v>
      </c>
      <c r="B471" s="3" t="inlineStr">
        <is>
          <t>Marketing &amp; Growth Expenses</t>
        </is>
      </c>
      <c r="C471" s="3" t="n"/>
      <c r="D471" s="3" t="inlineStr">
        <is>
          <t>VALDIR PELIK CALAZANS - Transferência | Pix</t>
        </is>
      </c>
      <c r="E471" s="3" t="n">
        <v>-928.25</v>
      </c>
      <c r="F471" s="3" t="inlineStr">
        <is>
          <t>Débito</t>
        </is>
      </c>
      <c r="G471" s="3" t="inlineStr">
        <is>
          <t>Marketing e Publicidade - Sem NF</t>
        </is>
      </c>
      <c r="H471" s="3" t="inlineStr">
        <is>
          <t>2025-10</t>
        </is>
      </c>
      <c r="I471" s="3" t="n"/>
      <c r="J471" s="3" t="n"/>
    </row>
    <row r="472">
      <c r="A472" s="6" t="n">
        <v>45936</v>
      </c>
      <c r="B472" s="3" t="inlineStr">
        <is>
          <t>Marketing &amp; Growth Expenses</t>
        </is>
      </c>
      <c r="C472" s="3" t="n"/>
      <c r="D472" s="3" t="inlineStr">
        <is>
          <t>Vitoria Rodrigues da Silveira - Transferência | Pix</t>
        </is>
      </c>
      <c r="E472" s="3" t="n">
        <v>-444.25</v>
      </c>
      <c r="F472" s="3" t="inlineStr">
        <is>
          <t>Débito</t>
        </is>
      </c>
      <c r="G472" s="3" t="inlineStr">
        <is>
          <t>Marketing e Publicidade - Sem NF</t>
        </is>
      </c>
      <c r="H472" s="3" t="inlineStr">
        <is>
          <t>2025-10</t>
        </is>
      </c>
      <c r="I472" s="3" t="n"/>
      <c r="J472" s="3" t="n"/>
    </row>
    <row r="473">
      <c r="A473" s="6" t="n">
        <v>45936</v>
      </c>
      <c r="B473" s="3" t="inlineStr">
        <is>
          <t>Marketing &amp; Growth Expenses</t>
        </is>
      </c>
      <c r="C473" s="3" t="n"/>
      <c r="D473" s="3" t="inlineStr">
        <is>
          <t>Rafael Pimenta Vieira - Transferência | Pix</t>
        </is>
      </c>
      <c r="E473" s="3" t="n">
        <v>-843</v>
      </c>
      <c r="F473" s="3" t="inlineStr">
        <is>
          <t>Débito</t>
        </is>
      </c>
      <c r="G473" s="3" t="inlineStr">
        <is>
          <t>Marketing e Publicidade - Sem NF</t>
        </is>
      </c>
      <c r="H473" s="3" t="inlineStr">
        <is>
          <t>2025-10</t>
        </is>
      </c>
      <c r="I473" s="3" t="n"/>
      <c r="J473" s="3" t="n"/>
    </row>
    <row r="474">
      <c r="A474" s="6" t="n">
        <v>45936</v>
      </c>
      <c r="B474" s="3" t="inlineStr">
        <is>
          <t>Marketing &amp; Growth Expenses</t>
        </is>
      </c>
      <c r="C474" s="3" t="n"/>
      <c r="D474" s="3" t="inlineStr">
        <is>
          <t>Nicole Caparra Lopes - Transferência | Pix</t>
        </is>
      </c>
      <c r="E474" s="3" t="n">
        <v>-411.25</v>
      </c>
      <c r="F474" s="3" t="inlineStr">
        <is>
          <t>Débito</t>
        </is>
      </c>
      <c r="G474" s="3" t="inlineStr">
        <is>
          <t>Marketing e Publicidade - Sem NF</t>
        </is>
      </c>
      <c r="H474" s="3" t="inlineStr">
        <is>
          <t>2025-10</t>
        </is>
      </c>
      <c r="I474" s="3" t="n"/>
      <c r="J474" s="3" t="n"/>
    </row>
    <row r="475">
      <c r="A475" s="6" t="n">
        <v>45936</v>
      </c>
      <c r="B475" s="3" t="inlineStr">
        <is>
          <t>Marketing &amp; Growth Expenses</t>
        </is>
      </c>
      <c r="C475" s="3" t="n"/>
      <c r="D475" s="3" t="inlineStr">
        <is>
          <t>SABRINA SANTOS DE SANTANA - Transferência | Pix</t>
        </is>
      </c>
      <c r="E475" s="3" t="n">
        <v>-1263.75</v>
      </c>
      <c r="F475" s="3" t="inlineStr">
        <is>
          <t>Débito</t>
        </is>
      </c>
      <c r="G475" s="3" t="inlineStr">
        <is>
          <t>Marketing e Publicidade - Sem NF</t>
        </is>
      </c>
      <c r="H475" s="3" t="inlineStr">
        <is>
          <t>2025-10</t>
        </is>
      </c>
      <c r="I475" s="3" t="n"/>
      <c r="J475" s="3" t="n"/>
    </row>
    <row r="476">
      <c r="A476" s="6" t="n">
        <v>45936</v>
      </c>
      <c r="B476" s="3" t="inlineStr">
        <is>
          <t>Marketing &amp; Growth Expenses</t>
        </is>
      </c>
      <c r="C476" s="3" t="n"/>
      <c r="D476" s="3" t="inlineStr">
        <is>
          <t>Sabrina Mathidios de Oliveira - Transferência | Pix</t>
        </is>
      </c>
      <c r="E476" s="3" t="n">
        <v>-425</v>
      </c>
      <c r="F476" s="3" t="inlineStr">
        <is>
          <t>Débito</t>
        </is>
      </c>
      <c r="G476" s="3" t="inlineStr">
        <is>
          <t>Marketing e Publicidade - Sem NF</t>
        </is>
      </c>
      <c r="H476" s="3" t="inlineStr">
        <is>
          <t>2025-10</t>
        </is>
      </c>
      <c r="I476" s="3" t="n"/>
      <c r="J476" s="3" t="n"/>
    </row>
    <row r="477">
      <c r="A477" s="6" t="n">
        <v>45936</v>
      </c>
      <c r="B477" s="3" t="inlineStr">
        <is>
          <t>Marketing &amp; Growth Expenses</t>
        </is>
      </c>
      <c r="C477" s="3" t="n"/>
      <c r="D477" s="3" t="inlineStr">
        <is>
          <t>Rejane Herdy da Silva - Transferência | Pix</t>
        </is>
      </c>
      <c r="E477" s="3" t="n">
        <v>-724.75</v>
      </c>
      <c r="F477" s="3" t="inlineStr">
        <is>
          <t>Débito</t>
        </is>
      </c>
      <c r="G477" s="3" t="inlineStr">
        <is>
          <t>Marketing e Publicidade - Sem NF</t>
        </is>
      </c>
      <c r="H477" s="3" t="inlineStr">
        <is>
          <t>2025-10</t>
        </is>
      </c>
      <c r="I477" s="3" t="n"/>
      <c r="J477" s="3" t="n"/>
    </row>
    <row r="478">
      <c r="A478" s="6" t="n">
        <v>45936</v>
      </c>
      <c r="B478" s="3" t="inlineStr">
        <is>
          <t>Marketing &amp; Growth Expenses</t>
        </is>
      </c>
      <c r="C478" s="3" t="n"/>
      <c r="D478" s="3" t="inlineStr">
        <is>
          <t>Rian da Silva Mascarenhas - Transferência | Pix</t>
        </is>
      </c>
      <c r="E478" s="3" t="n">
        <v>-1932</v>
      </c>
      <c r="F478" s="3" t="inlineStr">
        <is>
          <t>Débito</t>
        </is>
      </c>
      <c r="G478" s="3" t="inlineStr">
        <is>
          <t>Marketing e Publicidade - Sem NF</t>
        </is>
      </c>
      <c r="H478" s="3" t="inlineStr">
        <is>
          <t>2025-10</t>
        </is>
      </c>
      <c r="I478" s="3" t="n"/>
      <c r="J478" s="3" t="n"/>
    </row>
    <row r="479">
      <c r="A479" s="6" t="n">
        <v>45936</v>
      </c>
      <c r="B479" s="3" t="inlineStr">
        <is>
          <t>Marketing &amp; Growth Expenses</t>
        </is>
      </c>
      <c r="C479" s="3" t="n"/>
      <c r="D479" s="3" t="inlineStr">
        <is>
          <t>WESLEY GUILHERME VIEIRA - Transferência | Pix</t>
        </is>
      </c>
      <c r="E479" s="3" t="n">
        <v>-474.5</v>
      </c>
      <c r="F479" s="3" t="inlineStr">
        <is>
          <t>Débito</t>
        </is>
      </c>
      <c r="G479" s="3" t="inlineStr">
        <is>
          <t>Marketing e Publicidade - Sem NF</t>
        </is>
      </c>
      <c r="H479" s="3" t="inlineStr">
        <is>
          <t>2025-10</t>
        </is>
      </c>
      <c r="I479" s="3" t="n"/>
      <c r="J479" s="3" t="n"/>
    </row>
    <row r="480">
      <c r="A480" s="6" t="n">
        <v>45936</v>
      </c>
      <c r="B480" s="3" t="inlineStr">
        <is>
          <t>Marketing &amp; Growth Expenses</t>
        </is>
      </c>
      <c r="C480" s="3" t="n"/>
      <c r="D480" s="3" t="inlineStr">
        <is>
          <t>William Silas Bezerra Batista - Transferência | Pix</t>
        </is>
      </c>
      <c r="E480" s="3" t="n">
        <v>-405.75</v>
      </c>
      <c r="F480" s="3" t="inlineStr">
        <is>
          <t>Débito</t>
        </is>
      </c>
      <c r="G480" s="3" t="inlineStr">
        <is>
          <t>Marketing e Publicidade - Sem NF</t>
        </is>
      </c>
      <c r="H480" s="3" t="inlineStr">
        <is>
          <t>2025-10</t>
        </is>
      </c>
      <c r="I480" s="3" t="n"/>
      <c r="J480" s="3" t="n"/>
    </row>
    <row r="481">
      <c r="A481" s="6" t="n">
        <v>45936</v>
      </c>
      <c r="B481" s="3" t="inlineStr">
        <is>
          <t>Marketing &amp; Growth Expenses</t>
        </is>
      </c>
      <c r="C481" s="3" t="n"/>
      <c r="D481" s="3" t="inlineStr">
        <is>
          <t>Yasmin Cordeiro Santos - Transferência | Pix</t>
        </is>
      </c>
      <c r="E481" s="3" t="n">
        <v>-409.5</v>
      </c>
      <c r="F481" s="3" t="inlineStr">
        <is>
          <t>Débito</t>
        </is>
      </c>
      <c r="G481" s="3" t="inlineStr">
        <is>
          <t>Marketing e Publicidade - Sem NF</t>
        </is>
      </c>
      <c r="H481" s="3" t="inlineStr">
        <is>
          <t>2025-10</t>
        </is>
      </c>
      <c r="I481" s="3" t="n"/>
      <c r="J481" s="3" t="n"/>
    </row>
    <row r="482">
      <c r="A482" s="6" t="n">
        <v>45937</v>
      </c>
      <c r="B482" s="3" t="inlineStr">
        <is>
          <t>Rendimentos de Aplicações</t>
        </is>
      </c>
      <c r="C482" s="3" t="inlineStr">
        <is>
          <t>CONTA SIMPLES</t>
        </is>
      </c>
      <c r="D482" s="3" t="inlineStr">
        <is>
          <t>Rentabilidade CDI - Remuneração-Cta Pgto</t>
        </is>
      </c>
      <c r="E482" s="3" t="n">
        <v>14.43</v>
      </c>
      <c r="F482" s="3" t="inlineStr">
        <is>
          <t>Crédito</t>
        </is>
      </c>
      <c r="G482" s="3" t="inlineStr">
        <is>
          <t>Rendimentos de Aplicações</t>
        </is>
      </c>
      <c r="H482" s="3" t="inlineStr">
        <is>
          <t>2025-10</t>
        </is>
      </c>
      <c r="I482" s="3" t="n"/>
      <c r="J482" s="3" t="n"/>
    </row>
    <row r="483">
      <c r="A483" s="6" t="n">
        <v>45938</v>
      </c>
      <c r="B483" s="3" t="inlineStr">
        <is>
          <t>Rendimentos de Aplicações</t>
        </is>
      </c>
      <c r="C483" s="3" t="inlineStr">
        <is>
          <t>CONTA SIMPLES</t>
        </is>
      </c>
      <c r="D483" s="3" t="inlineStr">
        <is>
          <t>Rentabilidade CDI - Remuneração-Cta Pgto</t>
        </is>
      </c>
      <c r="E483" s="3" t="n">
        <v>14.44</v>
      </c>
      <c r="F483" s="3" t="inlineStr">
        <is>
          <t>Crédito</t>
        </is>
      </c>
      <c r="G483" s="3" t="inlineStr">
        <is>
          <t>Rendimentos de Aplicações</t>
        </is>
      </c>
      <c r="H483" s="3" t="inlineStr">
        <is>
          <t>2025-10</t>
        </is>
      </c>
      <c r="I483" s="3" t="n"/>
      <c r="J483" s="3" t="n"/>
    </row>
    <row r="484">
      <c r="A484" s="6" t="n">
        <v>45939</v>
      </c>
      <c r="B484" s="3" t="inlineStr">
        <is>
          <t>Rendimentos de Aplicações</t>
        </is>
      </c>
      <c r="C484" s="3" t="inlineStr">
        <is>
          <t>CONTA SIMPLES</t>
        </is>
      </c>
      <c r="D484" s="3" t="inlineStr">
        <is>
          <t>Rentabilidade CDI</t>
        </is>
      </c>
      <c r="E484" s="3" t="n">
        <v>14.46</v>
      </c>
      <c r="F484" s="3" t="inlineStr">
        <is>
          <t>Crédito</t>
        </is>
      </c>
      <c r="G484" s="3" t="inlineStr">
        <is>
          <t>Rendimentos de Aplicações</t>
        </is>
      </c>
      <c r="H484" s="3" t="inlineStr">
        <is>
          <t>2025-10</t>
        </is>
      </c>
      <c r="I484" s="3" t="n"/>
      <c r="J484" s="3" t="n"/>
    </row>
    <row r="485">
      <c r="A485" s="6" t="n">
        <v>45939</v>
      </c>
      <c r="B485" s="3" t="inlineStr">
        <is>
          <t>Marketing &amp; Growth Expenses</t>
        </is>
      </c>
      <c r="C485" s="3" t="n"/>
      <c r="D485" s="3" t="inlineStr">
        <is>
          <t>Jonatthan Marllon Espinola Reganham - Transferência | Pix</t>
        </is>
      </c>
      <c r="E485" s="3" t="n">
        <v>-8</v>
      </c>
      <c r="F485" s="3" t="inlineStr">
        <is>
          <t>Débito</t>
        </is>
      </c>
      <c r="G485" s="3" t="inlineStr">
        <is>
          <t>Marketing e Publicidade - Sem NF</t>
        </is>
      </c>
      <c r="H485" s="3" t="inlineStr">
        <is>
          <t>2025-10</t>
        </is>
      </c>
      <c r="I485" s="3" t="n"/>
      <c r="J485" s="3" t="n"/>
    </row>
    <row r="486">
      <c r="A486" s="6" t="n">
        <v>45939</v>
      </c>
      <c r="B486" s="3" t="inlineStr">
        <is>
          <t>Marketing &amp; Growth Expenses</t>
        </is>
      </c>
      <c r="C486" s="3" t="n"/>
      <c r="D486" s="3" t="inlineStr">
        <is>
          <t>Jonatthan Marllon Espinola Reganham - Transferência | Pix</t>
        </is>
      </c>
      <c r="E486" s="3" t="n">
        <v>-20</v>
      </c>
      <c r="F486" s="3" t="inlineStr">
        <is>
          <t>Débito</t>
        </is>
      </c>
      <c r="G486" s="3" t="inlineStr">
        <is>
          <t>Marketing e Publicidade - Sem NF</t>
        </is>
      </c>
      <c r="H486" s="3" t="inlineStr">
        <is>
          <t>2025-10</t>
        </is>
      </c>
      <c r="I486" s="3" t="n"/>
      <c r="J486" s="3" t="n"/>
    </row>
    <row r="487">
      <c r="A487" s="6" t="n">
        <v>45939</v>
      </c>
      <c r="B487" s="3" t="inlineStr">
        <is>
          <t>Marketing &amp; Growth Expenses</t>
        </is>
      </c>
      <c r="C487" s="3" t="n"/>
      <c r="D487" s="3" t="inlineStr">
        <is>
          <t>M4 PRODUTOS E SERVICOS LTDA - Transferência | Pix</t>
        </is>
      </c>
      <c r="E487" s="3" t="n">
        <v>-20</v>
      </c>
      <c r="F487" s="3" t="inlineStr">
        <is>
          <t>Débito</t>
        </is>
      </c>
      <c r="G487" s="3" t="inlineStr">
        <is>
          <t>Marketing e Publicidade - Sem NF</t>
        </is>
      </c>
      <c r="H487" s="3" t="inlineStr">
        <is>
          <t>2025-10</t>
        </is>
      </c>
      <c r="I487" s="3" t="n"/>
      <c r="J487" s="3" t="n"/>
    </row>
    <row r="488">
      <c r="A488" s="6" t="n">
        <v>45939</v>
      </c>
      <c r="B488" s="3" t="inlineStr">
        <is>
          <t>Marketing &amp; Growth Expenses</t>
        </is>
      </c>
      <c r="C488" s="3" t="n"/>
      <c r="D488" s="3" t="inlineStr">
        <is>
          <t>MULTIDISPLAY C E S T LTDA - Transferência | Pix</t>
        </is>
      </c>
      <c r="E488" s="3" t="n">
        <v>-20</v>
      </c>
      <c r="F488" s="3" t="inlineStr">
        <is>
          <t>Débito</t>
        </is>
      </c>
      <c r="G488" s="3" t="inlineStr">
        <is>
          <t>Marketing e Publicidade - Sem NF</t>
        </is>
      </c>
      <c r="H488" s="3" t="inlineStr">
        <is>
          <t>2025-10</t>
        </is>
      </c>
      <c r="I488" s="3" t="n"/>
      <c r="J488" s="3" t="n"/>
    </row>
    <row r="489">
      <c r="A489" s="6" t="n">
        <v>45905</v>
      </c>
      <c r="B489" s="3" t="inlineStr">
        <is>
          <t>Tech Support &amp; Services</t>
        </is>
      </c>
      <c r="C489" s="3" t="inlineStr">
        <is>
          <t>COMPANYHERO SAO PAULO BRA</t>
        </is>
      </c>
      <c r="D489" s="3" t="inlineStr">
        <is>
          <t>IG*CompanyHero</t>
        </is>
      </c>
      <c r="E489" s="3" t="n">
        <v>-136</v>
      </c>
      <c r="F489" s="3" t="inlineStr">
        <is>
          <t>Débito</t>
        </is>
      </c>
      <c r="G489" s="3" t="inlineStr">
        <is>
          <t>Software / Licença de Uso</t>
        </is>
      </c>
      <c r="H489" s="3" t="inlineStr">
        <is>
          <t>2025-09</t>
        </is>
      </c>
      <c r="I489" s="3" t="n"/>
      <c r="J489" s="3" t="n"/>
    </row>
    <row r="490">
      <c r="A490" s="6" t="n">
        <v>45912</v>
      </c>
      <c r="B490" s="3" t="inlineStr">
        <is>
          <t>Tech Support &amp; Services</t>
        </is>
      </c>
      <c r="C490" s="3" t="inlineStr">
        <is>
          <t>ClickSign</t>
        </is>
      </c>
      <c r="D490" s="3" t="inlineStr">
        <is>
          <t>CLICK SIGN*Clicksign</t>
        </is>
      </c>
      <c r="E490" s="3" t="n">
        <v>-39</v>
      </c>
      <c r="F490" s="3" t="inlineStr">
        <is>
          <t>Débito</t>
        </is>
      </c>
      <c r="G490" s="3" t="inlineStr">
        <is>
          <t>Software / Licença de Uso</t>
        </is>
      </c>
      <c r="H490" s="3" t="inlineStr">
        <is>
          <t>2025-09</t>
        </is>
      </c>
      <c r="I490" s="3" t="n"/>
      <c r="J490" s="3" t="n"/>
    </row>
    <row r="491">
      <c r="A491" s="6" t="n">
        <v>45918</v>
      </c>
      <c r="B491" s="3" t="inlineStr">
        <is>
          <t>Tech Support &amp; Services</t>
        </is>
      </c>
      <c r="C491" s="3" t="inlineStr">
        <is>
          <t>Adobe</t>
        </is>
      </c>
      <c r="D491" s="3" t="inlineStr">
        <is>
          <t>EBN⭑ADOBE</t>
        </is>
      </c>
      <c r="E491" s="3" t="n">
        <v>-139</v>
      </c>
      <c r="F491" s="3" t="inlineStr">
        <is>
          <t>Débito</t>
        </is>
      </c>
      <c r="G491" s="3" t="inlineStr">
        <is>
          <t>Software / Licença de Uso</t>
        </is>
      </c>
      <c r="H491" s="3" t="inlineStr">
        <is>
          <t>2025-09</t>
        </is>
      </c>
      <c r="I491" s="3" t="n"/>
      <c r="J491" s="3" t="n"/>
    </row>
    <row r="492">
      <c r="A492" s="6" t="n">
        <v>45925</v>
      </c>
      <c r="B492" s="3" t="inlineStr">
        <is>
          <t>Tech Support &amp; Services</t>
        </is>
      </c>
      <c r="C492" s="3" t="inlineStr">
        <is>
          <t>Adobe</t>
        </is>
      </c>
      <c r="D492" s="3" t="inlineStr">
        <is>
          <t>ADOBE</t>
        </is>
      </c>
      <c r="E492" s="3" t="n">
        <v>-139</v>
      </c>
      <c r="F492" s="3" t="inlineStr">
        <is>
          <t>Débito</t>
        </is>
      </c>
      <c r="G492" s="3" t="inlineStr">
        <is>
          <t>Software / Licença de Uso</t>
        </is>
      </c>
      <c r="H492" s="3" t="inlineStr">
        <is>
          <t>2025-09</t>
        </is>
      </c>
      <c r="I492" s="3" t="n"/>
      <c r="J492" s="3" t="n"/>
    </row>
    <row r="493">
      <c r="A493" s="6" t="n">
        <v>45930</v>
      </c>
      <c r="B493" s="3" t="inlineStr">
        <is>
          <t>Tech Support &amp; Services</t>
        </is>
      </c>
      <c r="C493" s="3" t="inlineStr">
        <is>
          <t>Canva</t>
        </is>
      </c>
      <c r="D493" s="3" t="inlineStr">
        <is>
          <t>EBN* CANVA0465</t>
        </is>
      </c>
      <c r="E493" s="3" t="n">
        <v>-35</v>
      </c>
      <c r="F493" s="3" t="inlineStr">
        <is>
          <t>Débito</t>
        </is>
      </c>
      <c r="G493" s="3" t="inlineStr">
        <is>
          <t>Software / Licença de Uso</t>
        </is>
      </c>
      <c r="H493" s="3" t="inlineStr">
        <is>
          <t>2025-09</t>
        </is>
      </c>
      <c r="I493" s="3" t="n"/>
      <c r="J493" s="3" t="n"/>
    </row>
    <row r="494">
      <c r="A494" s="6" t="n">
        <v>45901</v>
      </c>
      <c r="B494" s="3" t="inlineStr">
        <is>
          <t>Payroll Tax - Brazil</t>
        </is>
      </c>
      <c r="C494" s="3" t="inlineStr">
        <is>
          <t>IMPOSTOS/TRIBUTOS</t>
        </is>
      </c>
      <c r="D494" s="3" t="inlineStr">
        <is>
          <t>DAMSP - DARF ISS 09.2025</t>
        </is>
      </c>
      <c r="E494" s="3" t="n">
        <v>-17</v>
      </c>
      <c r="F494" s="3" t="inlineStr">
        <is>
          <t>Débito</t>
        </is>
      </c>
      <c r="G494" s="3" t="inlineStr">
        <is>
          <t>Retenção - ISS Serviços Tomados</t>
        </is>
      </c>
      <c r="H494" s="3" t="inlineStr">
        <is>
          <t>2025-09</t>
        </is>
      </c>
      <c r="I494" s="3" t="n"/>
      <c r="J494" s="3" t="n"/>
    </row>
    <row r="495">
      <c r="A495" s="6" t="n">
        <v>45940</v>
      </c>
      <c r="B495" s="3" t="n"/>
      <c r="C495" s="3" t="n"/>
      <c r="D495" s="3" t="inlineStr">
        <is>
          <t>Pix enviado - Umatch Ltda</t>
        </is>
      </c>
      <c r="E495" s="3" t="n">
        <v>16203</v>
      </c>
      <c r="F495" s="3" t="inlineStr">
        <is>
          <t>Crédito</t>
        </is>
      </c>
      <c r="G495" s="3" t="inlineStr">
        <is>
          <t>Transferência de Entrada</t>
        </is>
      </c>
      <c r="H495" s="3" t="inlineStr">
        <is>
          <t>2025-10</t>
        </is>
      </c>
      <c r="I495" s="3" t="n"/>
      <c r="J495" s="3" t="n"/>
    </row>
    <row r="496">
      <c r="A496" s="6" t="n">
        <v>45940</v>
      </c>
      <c r="B496" s="3" t="n"/>
      <c r="C496" s="3" t="n"/>
      <c r="D496" s="3" t="inlineStr">
        <is>
          <t>Pix enviado - Umatch Ltda</t>
        </is>
      </c>
      <c r="E496" s="3" t="n">
        <v>-16203</v>
      </c>
      <c r="F496" s="3" t="inlineStr">
        <is>
          <t>Débito</t>
        </is>
      </c>
      <c r="G496" s="3" t="inlineStr">
        <is>
          <t>Transferência de Saída</t>
        </is>
      </c>
      <c r="H496" s="3" t="inlineStr">
        <is>
          <t>2025-10</t>
        </is>
      </c>
      <c r="I496" s="3" t="n"/>
      <c r="J496" s="3" t="n"/>
    </row>
    <row r="497">
      <c r="A497" s="6" t="n">
        <v>45940</v>
      </c>
      <c r="B497" s="3" t="inlineStr">
        <is>
          <t>Marketing &amp; Growth Expenses</t>
        </is>
      </c>
      <c r="C497" s="3" t="n"/>
      <c r="D497" s="3" t="inlineStr">
        <is>
          <t>ANA PAULA SILVA MAGGI - Transferência | Pix</t>
        </is>
      </c>
      <c r="E497" s="3" t="n">
        <v>-135.5</v>
      </c>
      <c r="F497" s="3" t="inlineStr">
        <is>
          <t>Débito</t>
        </is>
      </c>
      <c r="G497" s="3" t="inlineStr">
        <is>
          <t>Marketing e Publicidade - Sem NF</t>
        </is>
      </c>
      <c r="H497" s="3" t="inlineStr">
        <is>
          <t>2025-10</t>
        </is>
      </c>
      <c r="I497" s="3" t="n"/>
      <c r="J497" s="3" t="n"/>
    </row>
    <row r="498">
      <c r="A498" s="6" t="n">
        <v>45940</v>
      </c>
      <c r="B498" s="3" t="inlineStr">
        <is>
          <t>Marketing &amp; Growth Expenses</t>
        </is>
      </c>
      <c r="C498" s="3" t="n"/>
      <c r="D498" s="3" t="inlineStr">
        <is>
          <t>ALINE APARECIDA EDUARDA RESENDE - Transferência | Pix</t>
        </is>
      </c>
      <c r="E498" s="3" t="n">
        <v>-156.75</v>
      </c>
      <c r="F498" s="3" t="inlineStr">
        <is>
          <t>Débito</t>
        </is>
      </c>
      <c r="G498" s="3" t="inlineStr">
        <is>
          <t>Marketing e Publicidade - Sem NF</t>
        </is>
      </c>
      <c r="H498" s="3" t="inlineStr">
        <is>
          <t>2025-10</t>
        </is>
      </c>
      <c r="I498" s="3" t="n"/>
      <c r="J498" s="3" t="n"/>
    </row>
    <row r="499">
      <c r="A499" s="6" t="n">
        <v>45940</v>
      </c>
      <c r="B499" s="3" t="inlineStr">
        <is>
          <t>Marketing &amp; Growth Expenses</t>
        </is>
      </c>
      <c r="C499" s="3" t="n"/>
      <c r="D499" s="3" t="inlineStr">
        <is>
          <t>ALEXANDRE PEREIRA DE ALMEIDA MOTTA - Transferência | Pix</t>
        </is>
      </c>
      <c r="E499" s="3" t="n">
        <v>-61.25</v>
      </c>
      <c r="F499" s="3" t="inlineStr">
        <is>
          <t>Débito</t>
        </is>
      </c>
      <c r="G499" s="3" t="inlineStr">
        <is>
          <t>Marketing e Publicidade - Sem NF</t>
        </is>
      </c>
      <c r="H499" s="3" t="inlineStr">
        <is>
          <t>2025-10</t>
        </is>
      </c>
      <c r="I499" s="3" t="n"/>
      <c r="J499" s="3" t="n"/>
    </row>
    <row r="500">
      <c r="A500" s="6" t="n">
        <v>45940</v>
      </c>
      <c r="B500" s="3" t="inlineStr">
        <is>
          <t>Marketing &amp; Growth Expenses</t>
        </is>
      </c>
      <c r="C500" s="3" t="n"/>
      <c r="D500" s="3" t="inlineStr">
        <is>
          <t>AMANDA ALMEIDA LIMA - Transferência | Pix</t>
        </is>
      </c>
      <c r="E500" s="3" t="n">
        <v>-13.75</v>
      </c>
      <c r="F500" s="3" t="inlineStr">
        <is>
          <t>Débito</t>
        </is>
      </c>
      <c r="G500" s="3" t="inlineStr">
        <is>
          <t>Marketing e Publicidade - Sem NF</t>
        </is>
      </c>
      <c r="H500" s="3" t="inlineStr">
        <is>
          <t>2025-10</t>
        </is>
      </c>
      <c r="I500" s="3" t="n"/>
      <c r="J500" s="3" t="n"/>
    </row>
    <row r="501">
      <c r="A501" s="6" t="n">
        <v>45940</v>
      </c>
      <c r="B501" s="3" t="inlineStr">
        <is>
          <t>Marketing &amp; Growth Expenses</t>
        </is>
      </c>
      <c r="C501" s="3" t="n"/>
      <c r="D501" s="3" t="inlineStr">
        <is>
          <t>ANTONIA ROSYANNY SOARES CAVALCANTE - Transferência | Pix</t>
        </is>
      </c>
      <c r="E501" s="3" t="n">
        <v>-49.5</v>
      </c>
      <c r="F501" s="3" t="inlineStr">
        <is>
          <t>Débito</t>
        </is>
      </c>
      <c r="G501" s="3" t="inlineStr">
        <is>
          <t>Marketing e Publicidade - Sem NF</t>
        </is>
      </c>
      <c r="H501" s="3" t="inlineStr">
        <is>
          <t>2025-10</t>
        </is>
      </c>
      <c r="I501" s="3" t="n"/>
      <c r="J501" s="3" t="n"/>
    </row>
    <row r="502">
      <c r="A502" s="6" t="n">
        <v>45940</v>
      </c>
      <c r="B502" s="3" t="inlineStr">
        <is>
          <t>Marketing &amp; Growth Expenses</t>
        </is>
      </c>
      <c r="C502" s="3" t="n"/>
      <c r="D502" s="3" t="inlineStr">
        <is>
          <t>Alef Rodrigues dos Santos Borges - Transferência | Pix</t>
        </is>
      </c>
      <c r="E502" s="3" t="n">
        <v>-30.25</v>
      </c>
      <c r="F502" s="3" t="inlineStr">
        <is>
          <t>Débito</t>
        </is>
      </c>
      <c r="G502" s="3" t="inlineStr">
        <is>
          <t>Marketing e Publicidade - Sem NF</t>
        </is>
      </c>
      <c r="H502" s="3" t="inlineStr">
        <is>
          <t>2025-10</t>
        </is>
      </c>
      <c r="I502" s="3" t="n"/>
      <c r="J502" s="3" t="n"/>
    </row>
    <row r="503">
      <c r="A503" s="6" t="n">
        <v>45940</v>
      </c>
      <c r="B503" s="3" t="inlineStr">
        <is>
          <t>Marketing &amp; Growth Expenses</t>
        </is>
      </c>
      <c r="C503" s="3" t="n"/>
      <c r="D503" s="3" t="inlineStr">
        <is>
          <t>Alvaro Saboia Manso de Almeida - Transferência | Pix</t>
        </is>
      </c>
      <c r="E503" s="3" t="n">
        <v>-41.25</v>
      </c>
      <c r="F503" s="3" t="inlineStr">
        <is>
          <t>Débito</t>
        </is>
      </c>
      <c r="G503" s="3" t="inlineStr">
        <is>
          <t>Marketing e Publicidade - Sem NF</t>
        </is>
      </c>
      <c r="H503" s="3" t="inlineStr">
        <is>
          <t>2025-10</t>
        </is>
      </c>
      <c r="I503" s="3" t="n"/>
      <c r="J503" s="3" t="n"/>
    </row>
    <row r="504">
      <c r="A504" s="6" t="n">
        <v>45940</v>
      </c>
      <c r="B504" s="3" t="inlineStr">
        <is>
          <t>Marketing &amp; Growth Expenses</t>
        </is>
      </c>
      <c r="C504" s="3" t="n"/>
      <c r="D504" s="3" t="inlineStr">
        <is>
          <t>Amanda Lima Dos Santos - Transferência | Pix</t>
        </is>
      </c>
      <c r="E504" s="3" t="n">
        <v>-24.75</v>
      </c>
      <c r="F504" s="3" t="inlineStr">
        <is>
          <t>Débito</t>
        </is>
      </c>
      <c r="G504" s="3" t="inlineStr">
        <is>
          <t>Marketing e Publicidade - Sem NF</t>
        </is>
      </c>
      <c r="H504" s="3" t="inlineStr">
        <is>
          <t>2025-10</t>
        </is>
      </c>
      <c r="I504" s="3" t="n"/>
      <c r="J504" s="3" t="n"/>
    </row>
    <row r="505">
      <c r="A505" s="6" t="n">
        <v>45940</v>
      </c>
      <c r="B505" s="3" t="inlineStr">
        <is>
          <t>Marketing &amp; Growth Expenses</t>
        </is>
      </c>
      <c r="C505" s="3" t="n"/>
      <c r="D505" s="3" t="inlineStr">
        <is>
          <t>Alessandra Luz Pinto - Transferência | Pix</t>
        </is>
      </c>
      <c r="E505" s="3" t="n">
        <v>-77</v>
      </c>
      <c r="F505" s="3" t="inlineStr">
        <is>
          <t>Débito</t>
        </is>
      </c>
      <c r="G505" s="3" t="inlineStr">
        <is>
          <t>Marketing e Publicidade - Sem NF</t>
        </is>
      </c>
      <c r="H505" s="3" t="inlineStr">
        <is>
          <t>2025-10</t>
        </is>
      </c>
      <c r="I505" s="3" t="n"/>
      <c r="J505" s="3" t="n"/>
    </row>
    <row r="506">
      <c r="A506" s="6" t="n">
        <v>45940</v>
      </c>
      <c r="B506" s="3" t="inlineStr">
        <is>
          <t>Marketing &amp; Growth Expenses</t>
        </is>
      </c>
      <c r="C506" s="3" t="n"/>
      <c r="D506" s="3" t="inlineStr">
        <is>
          <t>Ana Maria Reis Curvelo Ferreira - Transferência | Pix</t>
        </is>
      </c>
      <c r="E506" s="3" t="n">
        <v>-41.25</v>
      </c>
      <c r="F506" s="3" t="inlineStr">
        <is>
          <t>Débito</t>
        </is>
      </c>
      <c r="G506" s="3" t="inlineStr">
        <is>
          <t>Marketing e Publicidade - Sem NF</t>
        </is>
      </c>
      <c r="H506" s="3" t="inlineStr">
        <is>
          <t>2025-10</t>
        </is>
      </c>
      <c r="I506" s="3" t="n"/>
      <c r="J506" s="3" t="n"/>
    </row>
    <row r="507">
      <c r="A507" s="6" t="n">
        <v>45940</v>
      </c>
      <c r="B507" s="3" t="inlineStr">
        <is>
          <t>Marketing &amp; Growth Expenses</t>
        </is>
      </c>
      <c r="C507" s="3" t="n"/>
      <c r="D507" s="3" t="inlineStr">
        <is>
          <t>Anna Flavia Bernardinelli Alves Da Costa - Transferência | Pix</t>
        </is>
      </c>
      <c r="E507" s="3" t="n">
        <v>-8.25</v>
      </c>
      <c r="F507" s="3" t="inlineStr">
        <is>
          <t>Débito</t>
        </is>
      </c>
      <c r="G507" s="3" t="inlineStr">
        <is>
          <t>Marketing e Publicidade - Sem NF</t>
        </is>
      </c>
      <c r="H507" s="3" t="inlineStr">
        <is>
          <t>2025-10</t>
        </is>
      </c>
      <c r="I507" s="3" t="n"/>
      <c r="J507" s="3" t="n"/>
    </row>
    <row r="508">
      <c r="A508" s="6" t="n">
        <v>45940</v>
      </c>
      <c r="B508" s="3" t="inlineStr">
        <is>
          <t>Marketing &amp; Growth Expenses</t>
        </is>
      </c>
      <c r="C508" s="3" t="n"/>
      <c r="D508" s="3" t="inlineStr">
        <is>
          <t>Alexandre Alves Cerqueira - Transferência | Pix</t>
        </is>
      </c>
      <c r="E508" s="3" t="n">
        <v>-52.25</v>
      </c>
      <c r="F508" s="3" t="inlineStr">
        <is>
          <t>Débito</t>
        </is>
      </c>
      <c r="G508" s="3" t="inlineStr">
        <is>
          <t>Marketing e Publicidade - Sem NF</t>
        </is>
      </c>
      <c r="H508" s="3" t="inlineStr">
        <is>
          <t>2025-10</t>
        </is>
      </c>
      <c r="I508" s="3" t="n"/>
      <c r="J508" s="3" t="n"/>
    </row>
    <row r="509">
      <c r="A509" s="6" t="n">
        <v>45940</v>
      </c>
      <c r="B509" s="3" t="inlineStr">
        <is>
          <t>Marketing &amp; Growth Expenses</t>
        </is>
      </c>
      <c r="C509" s="3" t="n"/>
      <c r="D509" s="3" t="inlineStr">
        <is>
          <t>Alice Magalhaes Sampaio - Transferência | Pix</t>
        </is>
      </c>
      <c r="E509" s="3" t="n">
        <v>-119</v>
      </c>
      <c r="F509" s="3" t="inlineStr">
        <is>
          <t>Débito</t>
        </is>
      </c>
      <c r="G509" s="3" t="inlineStr">
        <is>
          <t>Marketing e Publicidade - Sem NF</t>
        </is>
      </c>
      <c r="H509" s="3" t="inlineStr">
        <is>
          <t>2025-10</t>
        </is>
      </c>
      <c r="I509" s="3" t="n"/>
      <c r="J509" s="3" t="n"/>
    </row>
    <row r="510">
      <c r="A510" s="6" t="n">
        <v>45940</v>
      </c>
      <c r="B510" s="3" t="inlineStr">
        <is>
          <t>Marketing &amp; Growth Expenses</t>
        </is>
      </c>
      <c r="C510" s="3" t="n"/>
      <c r="D510" s="3" t="inlineStr">
        <is>
          <t>Aline lopes da silva - Transferência | Pix</t>
        </is>
      </c>
      <c r="E510" s="3" t="n">
        <v>-187.5</v>
      </c>
      <c r="F510" s="3" t="inlineStr">
        <is>
          <t>Débito</t>
        </is>
      </c>
      <c r="G510" s="3" t="inlineStr">
        <is>
          <t>Marketing e Publicidade - Sem NF</t>
        </is>
      </c>
      <c r="H510" s="3" t="inlineStr">
        <is>
          <t>2025-10</t>
        </is>
      </c>
      <c r="I510" s="3" t="n"/>
      <c r="J510" s="3" t="n"/>
    </row>
    <row r="511">
      <c r="A511" s="6" t="n">
        <v>45940</v>
      </c>
      <c r="B511" s="3" t="inlineStr">
        <is>
          <t>Marketing &amp; Growth Expenses</t>
        </is>
      </c>
      <c r="C511" s="3" t="n"/>
      <c r="D511" s="3" t="inlineStr">
        <is>
          <t>Beatriz Cubateli Bogo - Transferência | Pix</t>
        </is>
      </c>
      <c r="E511" s="3" t="n">
        <v>-97</v>
      </c>
      <c r="F511" s="3" t="inlineStr">
        <is>
          <t>Débito</t>
        </is>
      </c>
      <c r="G511" s="3" t="inlineStr">
        <is>
          <t>Marketing e Publicidade - Sem NF</t>
        </is>
      </c>
      <c r="H511" s="3" t="inlineStr">
        <is>
          <t>2025-10</t>
        </is>
      </c>
      <c r="I511" s="3" t="n"/>
      <c r="J511" s="3" t="n"/>
    </row>
    <row r="512">
      <c r="A512" s="6" t="n">
        <v>45940</v>
      </c>
      <c r="B512" s="3" t="inlineStr">
        <is>
          <t>Marketing &amp; Growth Expenses</t>
        </is>
      </c>
      <c r="C512" s="3" t="n"/>
      <c r="D512" s="3" t="inlineStr">
        <is>
          <t>Bianca Mendonca de Souza Leao - Transferência | Pix</t>
        </is>
      </c>
      <c r="E512" s="3" t="n">
        <v>-5.5</v>
      </c>
      <c r="F512" s="3" t="inlineStr">
        <is>
          <t>Débito</t>
        </is>
      </c>
      <c r="G512" s="3" t="inlineStr">
        <is>
          <t>Marketing e Publicidade - Sem NF</t>
        </is>
      </c>
      <c r="H512" s="3" t="inlineStr">
        <is>
          <t>2025-10</t>
        </is>
      </c>
      <c r="I512" s="3" t="n"/>
      <c r="J512" s="3" t="n"/>
    </row>
    <row r="513">
      <c r="A513" s="6" t="n">
        <v>45940</v>
      </c>
      <c r="B513" s="3" t="inlineStr">
        <is>
          <t>Marketing &amp; Growth Expenses</t>
        </is>
      </c>
      <c r="C513" s="3" t="n"/>
      <c r="D513" s="3" t="inlineStr">
        <is>
          <t>CAYKI VALVERDE GALDINO - Transferência | Pix</t>
        </is>
      </c>
      <c r="E513" s="3" t="n">
        <v>-38.5</v>
      </c>
      <c r="F513" s="3" t="inlineStr">
        <is>
          <t>Débito</t>
        </is>
      </c>
      <c r="G513" s="3" t="inlineStr">
        <is>
          <t>Marketing e Publicidade - Sem NF</t>
        </is>
      </c>
      <c r="H513" s="3" t="inlineStr">
        <is>
          <t>2025-10</t>
        </is>
      </c>
      <c r="I513" s="3" t="n"/>
      <c r="J513" s="3" t="n"/>
    </row>
    <row r="514">
      <c r="A514" s="6" t="n">
        <v>45940</v>
      </c>
      <c r="B514" s="3" t="inlineStr">
        <is>
          <t>Marketing &amp; Growth Expenses</t>
        </is>
      </c>
      <c r="C514" s="3" t="n"/>
      <c r="D514" s="3" t="inlineStr">
        <is>
          <t>DIEGO CARDOSO FERREIRA - Transferência | Pix</t>
        </is>
      </c>
      <c r="E514" s="3" t="n">
        <v>-54.5</v>
      </c>
      <c r="F514" s="3" t="inlineStr">
        <is>
          <t>Débito</t>
        </is>
      </c>
      <c r="G514" s="3" t="inlineStr">
        <is>
          <t>Marketing e Publicidade - Sem NF</t>
        </is>
      </c>
      <c r="H514" s="3" t="inlineStr">
        <is>
          <t>2025-10</t>
        </is>
      </c>
      <c r="I514" s="3" t="n"/>
      <c r="J514" s="3" t="n"/>
    </row>
    <row r="515">
      <c r="A515" s="6" t="n">
        <v>45940</v>
      </c>
      <c r="B515" s="3" t="inlineStr">
        <is>
          <t>Marketing &amp; Growth Expenses</t>
        </is>
      </c>
      <c r="C515" s="3" t="n"/>
      <c r="D515" s="3" t="inlineStr">
        <is>
          <t>CILOE DA SILVA ROCHA NETO - Transferência | Pix</t>
        </is>
      </c>
      <c r="E515" s="3" t="n">
        <v>-2.75</v>
      </c>
      <c r="F515" s="3" t="inlineStr">
        <is>
          <t>Débito</t>
        </is>
      </c>
      <c r="G515" s="3" t="inlineStr">
        <is>
          <t>Marketing e Publicidade - Sem NF</t>
        </is>
      </c>
      <c r="H515" s="3" t="inlineStr">
        <is>
          <t>2025-10</t>
        </is>
      </c>
      <c r="I515" s="3" t="n"/>
      <c r="J515" s="3" t="n"/>
    </row>
    <row r="516">
      <c r="A516" s="6" t="n">
        <v>45940</v>
      </c>
      <c r="B516" s="3" t="inlineStr">
        <is>
          <t>Marketing &amp; Growth Expenses</t>
        </is>
      </c>
      <c r="C516" s="3" t="n"/>
      <c r="D516" s="3" t="inlineStr">
        <is>
          <t>Carivaldo Rodrigues de Rezende Neto - Transferência | Pix</t>
        </is>
      </c>
      <c r="E516" s="3" t="n">
        <v>-35.75</v>
      </c>
      <c r="F516" s="3" t="inlineStr">
        <is>
          <t>Débito</t>
        </is>
      </c>
      <c r="G516" s="3" t="inlineStr">
        <is>
          <t>Marketing e Publicidade - Sem NF</t>
        </is>
      </c>
      <c r="H516" s="3" t="inlineStr">
        <is>
          <t>2025-10</t>
        </is>
      </c>
      <c r="I516" s="3" t="n"/>
      <c r="J516" s="3" t="n"/>
    </row>
    <row r="517">
      <c r="A517" s="6" t="n">
        <v>45940</v>
      </c>
      <c r="B517" s="3" t="inlineStr">
        <is>
          <t>Marketing &amp; Growth Expenses</t>
        </is>
      </c>
      <c r="C517" s="3" t="n"/>
      <c r="D517" s="3" t="inlineStr">
        <is>
          <t>Cassiane Dos Santos Miranda - Transferência | Pix</t>
        </is>
      </c>
      <c r="E517" s="3" t="n">
        <v>-119</v>
      </c>
      <c r="F517" s="3" t="inlineStr">
        <is>
          <t>Débito</t>
        </is>
      </c>
      <c r="G517" s="3" t="inlineStr">
        <is>
          <t>Marketing e Publicidade - Sem NF</t>
        </is>
      </c>
      <c r="H517" s="3" t="inlineStr">
        <is>
          <t>2025-10</t>
        </is>
      </c>
      <c r="I517" s="3" t="n"/>
      <c r="J517" s="3" t="n"/>
    </row>
    <row r="518">
      <c r="A518" s="6" t="n">
        <v>45940</v>
      </c>
      <c r="B518" s="3" t="inlineStr">
        <is>
          <t>Marketing &amp; Growth Expenses</t>
        </is>
      </c>
      <c r="C518" s="3" t="n"/>
      <c r="D518" s="3" t="inlineStr">
        <is>
          <t>Clara Cristina Morais dos Santos - Transferência | Pix</t>
        </is>
      </c>
      <c r="E518" s="3" t="n">
        <v>-220.5</v>
      </c>
      <c r="F518" s="3" t="inlineStr">
        <is>
          <t>Débito</t>
        </is>
      </c>
      <c r="G518" s="3" t="inlineStr">
        <is>
          <t>Marketing e Publicidade - Sem NF</t>
        </is>
      </c>
      <c r="H518" s="3" t="inlineStr">
        <is>
          <t>2025-10</t>
        </is>
      </c>
      <c r="I518" s="3" t="n"/>
      <c r="J518" s="3" t="n"/>
    </row>
    <row r="519">
      <c r="A519" s="6" t="n">
        <v>45940</v>
      </c>
      <c r="B519" s="3" t="inlineStr">
        <is>
          <t>Marketing &amp; Growth Expenses</t>
        </is>
      </c>
      <c r="C519" s="3" t="n"/>
      <c r="D519" s="3" t="inlineStr">
        <is>
          <t>Clara Leite Lisboa - Transferência | Pix</t>
        </is>
      </c>
      <c r="E519" s="3" t="n">
        <v>-5.5</v>
      </c>
      <c r="F519" s="3" t="inlineStr">
        <is>
          <t>Débito</t>
        </is>
      </c>
      <c r="G519" s="3" t="inlineStr">
        <is>
          <t>Marketing e Publicidade - Sem NF</t>
        </is>
      </c>
      <c r="H519" s="3" t="inlineStr">
        <is>
          <t>2025-10</t>
        </is>
      </c>
      <c r="I519" s="3" t="n"/>
      <c r="J519" s="3" t="n"/>
    </row>
    <row r="520">
      <c r="A520" s="6" t="n">
        <v>45940</v>
      </c>
      <c r="B520" s="3" t="inlineStr">
        <is>
          <t>Marketing &amp; Growth Expenses</t>
        </is>
      </c>
      <c r="C520" s="3" t="n"/>
      <c r="D520" s="3" t="inlineStr">
        <is>
          <t>DIEGO DYBA - Transferência | Pix</t>
        </is>
      </c>
      <c r="E520" s="3" t="n">
        <v>-55</v>
      </c>
      <c r="F520" s="3" t="inlineStr">
        <is>
          <t>Débito</t>
        </is>
      </c>
      <c r="G520" s="3" t="inlineStr">
        <is>
          <t>Marketing e Publicidade - Sem NF</t>
        </is>
      </c>
      <c r="H520" s="3" t="inlineStr">
        <is>
          <t>2025-10</t>
        </is>
      </c>
      <c r="I520" s="3" t="n"/>
      <c r="J520" s="3" t="n"/>
    </row>
    <row r="521">
      <c r="A521" s="6" t="n">
        <v>45940</v>
      </c>
      <c r="B521" s="3" t="inlineStr">
        <is>
          <t>Marketing &amp; Growth Expenses</t>
        </is>
      </c>
      <c r="C521" s="3" t="n"/>
      <c r="D521" s="3" t="inlineStr">
        <is>
          <t>Elaine Fernanda da Silva Lustosa - Transferência | Pix</t>
        </is>
      </c>
      <c r="E521" s="3" t="n">
        <v>-77</v>
      </c>
      <c r="F521" s="3" t="inlineStr">
        <is>
          <t>Débito</t>
        </is>
      </c>
      <c r="G521" s="3" t="inlineStr">
        <is>
          <t>Marketing e Publicidade - Sem NF</t>
        </is>
      </c>
      <c r="H521" s="3" t="inlineStr">
        <is>
          <t>2025-10</t>
        </is>
      </c>
      <c r="I521" s="3" t="n"/>
      <c r="J521" s="3" t="n"/>
    </row>
    <row r="522">
      <c r="A522" s="6" t="n">
        <v>45940</v>
      </c>
      <c r="B522" s="3" t="inlineStr">
        <is>
          <t>Marketing &amp; Growth Expenses</t>
        </is>
      </c>
      <c r="C522" s="3" t="n"/>
      <c r="D522" s="3" t="inlineStr">
        <is>
          <t>Daniel Santana de Lima - Transferência | Pix</t>
        </is>
      </c>
      <c r="E522" s="3" t="n">
        <v>-141</v>
      </c>
      <c r="F522" s="3" t="inlineStr">
        <is>
          <t>Débito</t>
        </is>
      </c>
      <c r="G522" s="3" t="inlineStr">
        <is>
          <t>Marketing e Publicidade - Sem NF</t>
        </is>
      </c>
      <c r="H522" s="3" t="inlineStr">
        <is>
          <t>2025-10</t>
        </is>
      </c>
      <c r="I522" s="3" t="n"/>
      <c r="J522" s="3" t="n"/>
    </row>
    <row r="523">
      <c r="A523" s="6" t="n">
        <v>45940</v>
      </c>
      <c r="B523" s="3" t="inlineStr">
        <is>
          <t>Marketing &amp; Growth Expenses</t>
        </is>
      </c>
      <c r="C523" s="3" t="n"/>
      <c r="D523" s="3" t="inlineStr">
        <is>
          <t>EMILY RAPHAELI FERNANDES - Transferência | Pix</t>
        </is>
      </c>
      <c r="E523" s="3" t="n">
        <v>-152</v>
      </c>
      <c r="F523" s="3" t="inlineStr">
        <is>
          <t>Débito</t>
        </is>
      </c>
      <c r="G523" s="3" t="inlineStr">
        <is>
          <t>Marketing e Publicidade - Sem NF</t>
        </is>
      </c>
      <c r="H523" s="3" t="inlineStr">
        <is>
          <t>2025-10</t>
        </is>
      </c>
      <c r="I523" s="3" t="n"/>
      <c r="J523" s="3" t="n"/>
    </row>
    <row r="524">
      <c r="A524" s="6" t="n">
        <v>45940</v>
      </c>
      <c r="B524" s="3" t="inlineStr">
        <is>
          <t>Marketing &amp; Growth Expenses</t>
        </is>
      </c>
      <c r="C524" s="3" t="n"/>
      <c r="D524" s="3" t="inlineStr">
        <is>
          <t>DEIVID KAUE LIMA CAMPOS - Transferência | Pix</t>
        </is>
      </c>
      <c r="E524" s="3" t="n">
        <v>-353.75</v>
      </c>
      <c r="F524" s="3" t="inlineStr">
        <is>
          <t>Débito</t>
        </is>
      </c>
      <c r="G524" s="3" t="inlineStr">
        <is>
          <t>Marketing e Publicidade - Sem NF</t>
        </is>
      </c>
      <c r="H524" s="3" t="inlineStr">
        <is>
          <t>2025-10</t>
        </is>
      </c>
      <c r="I524" s="3" t="n"/>
      <c r="J524" s="3" t="n"/>
    </row>
    <row r="525">
      <c r="A525" s="6" t="n">
        <v>45940</v>
      </c>
      <c r="B525" s="3" t="inlineStr">
        <is>
          <t>Marketing &amp; Growth Expenses</t>
        </is>
      </c>
      <c r="C525" s="3" t="n"/>
      <c r="D525" s="3" t="inlineStr">
        <is>
          <t>Diessica Da Silva Gomes - Transferência | Pix</t>
        </is>
      </c>
      <c r="E525" s="3" t="n">
        <v>-5.5</v>
      </c>
      <c r="F525" s="3" t="inlineStr">
        <is>
          <t>Débito</t>
        </is>
      </c>
      <c r="G525" s="3" t="inlineStr">
        <is>
          <t>Marketing e Publicidade - Sem NF</t>
        </is>
      </c>
      <c r="H525" s="3" t="inlineStr">
        <is>
          <t>2025-10</t>
        </is>
      </c>
      <c r="I525" s="3" t="n"/>
      <c r="J525" s="3" t="n"/>
    </row>
    <row r="526">
      <c r="A526" s="6" t="n">
        <v>45940</v>
      </c>
      <c r="B526" s="3" t="inlineStr">
        <is>
          <t>Marketing &amp; Growth Expenses</t>
        </is>
      </c>
      <c r="C526" s="3" t="n"/>
      <c r="D526" s="3" t="inlineStr">
        <is>
          <t>EDER FELIX DOS SANTOS - Transferência | Pix</t>
        </is>
      </c>
      <c r="E526" s="3" t="n">
        <v>-33</v>
      </c>
      <c r="F526" s="3" t="inlineStr">
        <is>
          <t>Débito</t>
        </is>
      </c>
      <c r="G526" s="3" t="inlineStr">
        <is>
          <t>Marketing e Publicidade - Sem NF</t>
        </is>
      </c>
      <c r="H526" s="3" t="inlineStr">
        <is>
          <t>2025-10</t>
        </is>
      </c>
      <c r="I526" s="3" t="n"/>
      <c r="J526" s="3" t="n"/>
    </row>
    <row r="527">
      <c r="A527" s="6" t="n">
        <v>45940</v>
      </c>
      <c r="B527" s="3" t="inlineStr">
        <is>
          <t>Marketing &amp; Growth Expenses</t>
        </is>
      </c>
      <c r="C527" s="3" t="n"/>
      <c r="D527" s="3" t="inlineStr">
        <is>
          <t>EDUARDA CAROLINI GONCALVES DA SILVA - Transferência | Pix</t>
        </is>
      </c>
      <c r="E527" s="3" t="n">
        <v>-126.5</v>
      </c>
      <c r="F527" s="3" t="inlineStr">
        <is>
          <t>Débito</t>
        </is>
      </c>
      <c r="G527" s="3" t="inlineStr">
        <is>
          <t>Marketing e Publicidade - Sem NF</t>
        </is>
      </c>
      <c r="H527" s="3" t="inlineStr">
        <is>
          <t>2025-10</t>
        </is>
      </c>
      <c r="I527" s="3" t="n"/>
      <c r="J527" s="3" t="n"/>
    </row>
    <row r="528">
      <c r="A528" s="6" t="n">
        <v>45940</v>
      </c>
      <c r="B528" s="3" t="inlineStr">
        <is>
          <t>Marketing &amp; Growth Expenses</t>
        </is>
      </c>
      <c r="C528" s="3" t="n"/>
      <c r="D528" s="3" t="inlineStr">
        <is>
          <t>Evaneilde Pereira Dos Santos - Transferência | Pix</t>
        </is>
      </c>
      <c r="E528" s="3" t="n">
        <v>-309.25</v>
      </c>
      <c r="F528" s="3" t="inlineStr">
        <is>
          <t>Débito</t>
        </is>
      </c>
      <c r="G528" s="3" t="inlineStr">
        <is>
          <t>Marketing e Publicidade - Sem NF</t>
        </is>
      </c>
      <c r="H528" s="3" t="inlineStr">
        <is>
          <t>2025-10</t>
        </is>
      </c>
      <c r="I528" s="3" t="n"/>
      <c r="J528" s="3" t="n"/>
    </row>
    <row r="529">
      <c r="A529" s="6" t="n">
        <v>45940</v>
      </c>
      <c r="B529" s="3" t="inlineStr">
        <is>
          <t>Marketing &amp; Growth Expenses</t>
        </is>
      </c>
      <c r="C529" s="3" t="n"/>
      <c r="D529" s="3" t="inlineStr">
        <is>
          <t>Eliton Dioni Oliveira da Silva - Transferência | Pix</t>
        </is>
      </c>
      <c r="E529" s="3" t="n">
        <v>-52.25</v>
      </c>
      <c r="F529" s="3" t="inlineStr">
        <is>
          <t>Débito</t>
        </is>
      </c>
      <c r="G529" s="3" t="inlineStr">
        <is>
          <t>Marketing e Publicidade - Sem NF</t>
        </is>
      </c>
      <c r="H529" s="3" t="inlineStr">
        <is>
          <t>2025-10</t>
        </is>
      </c>
      <c r="I529" s="3" t="n"/>
      <c r="J529" s="3" t="n"/>
    </row>
    <row r="530">
      <c r="A530" s="6" t="n">
        <v>45940</v>
      </c>
      <c r="B530" s="3" t="inlineStr">
        <is>
          <t>Marketing &amp; Growth Expenses</t>
        </is>
      </c>
      <c r="C530" s="3" t="n"/>
      <c r="D530" s="3" t="inlineStr">
        <is>
          <t>Elda das Merces Ribeiro - Transferência | Pix</t>
        </is>
      </c>
      <c r="E530" s="3" t="n">
        <v>-2.75</v>
      </c>
      <c r="F530" s="3" t="inlineStr">
        <is>
          <t>Débito</t>
        </is>
      </c>
      <c r="G530" s="3" t="inlineStr">
        <is>
          <t>Marketing e Publicidade - Sem NF</t>
        </is>
      </c>
      <c r="H530" s="3" t="inlineStr">
        <is>
          <t>2025-10</t>
        </is>
      </c>
      <c r="I530" s="3" t="n"/>
      <c r="J530" s="3" t="n"/>
    </row>
    <row r="531">
      <c r="A531" s="6" t="n">
        <v>45940</v>
      </c>
      <c r="B531" s="3" t="inlineStr">
        <is>
          <t>Marketing &amp; Growth Expenses</t>
        </is>
      </c>
      <c r="C531" s="3" t="n"/>
      <c r="D531" s="3" t="inlineStr">
        <is>
          <t>Evaneilde Pereira dos Santos - Transferência | Pix</t>
        </is>
      </c>
      <c r="E531" s="3" t="n">
        <v>-383.75</v>
      </c>
      <c r="F531" s="3" t="inlineStr">
        <is>
          <t>Débito</t>
        </is>
      </c>
      <c r="G531" s="3" t="inlineStr">
        <is>
          <t>Marketing e Publicidade - Sem NF</t>
        </is>
      </c>
      <c r="H531" s="3" t="inlineStr">
        <is>
          <t>2025-10</t>
        </is>
      </c>
      <c r="I531" s="3" t="n"/>
      <c r="J531" s="3" t="n"/>
    </row>
    <row r="532">
      <c r="A532" s="6" t="n">
        <v>45940</v>
      </c>
      <c r="B532" s="3" t="inlineStr">
        <is>
          <t>Marketing &amp; Growth Expenses</t>
        </is>
      </c>
      <c r="C532" s="3" t="n"/>
      <c r="D532" s="3" t="inlineStr">
        <is>
          <t>FABRICIO FERREIRA LINO - Transferência | Pix</t>
        </is>
      </c>
      <c r="E532" s="3" t="n">
        <v>-372.75</v>
      </c>
      <c r="F532" s="3" t="inlineStr">
        <is>
          <t>Débito</t>
        </is>
      </c>
      <c r="G532" s="3" t="inlineStr">
        <is>
          <t>Marketing e Publicidade - Sem NF</t>
        </is>
      </c>
      <c r="H532" s="3" t="inlineStr">
        <is>
          <t>2025-10</t>
        </is>
      </c>
      <c r="I532" s="3" t="n"/>
      <c r="J532" s="3" t="n"/>
    </row>
    <row r="533">
      <c r="A533" s="6" t="n">
        <v>45940</v>
      </c>
      <c r="B533" s="3" t="inlineStr">
        <is>
          <t>Marketing &amp; Growth Expenses</t>
        </is>
      </c>
      <c r="C533" s="3" t="n"/>
      <c r="D533" s="3" t="inlineStr">
        <is>
          <t>Frank Willis de Souza Costa - Transferência | Pix</t>
        </is>
      </c>
      <c r="E533" s="3" t="n">
        <v>-138.25</v>
      </c>
      <c r="F533" s="3" t="inlineStr">
        <is>
          <t>Débito</t>
        </is>
      </c>
      <c r="G533" s="3" t="inlineStr">
        <is>
          <t>Marketing e Publicidade - Sem NF</t>
        </is>
      </c>
      <c r="H533" s="3" t="inlineStr">
        <is>
          <t>2025-10</t>
        </is>
      </c>
      <c r="I533" s="3" t="n"/>
      <c r="J533" s="3" t="n"/>
    </row>
    <row r="534">
      <c r="A534" s="6" t="n">
        <v>45940</v>
      </c>
      <c r="B534" s="3" t="inlineStr">
        <is>
          <t>Marketing &amp; Growth Expenses</t>
        </is>
      </c>
      <c r="C534" s="3" t="n"/>
      <c r="D534" s="3" t="inlineStr">
        <is>
          <t>GABRIEL GONCALVES MENDES CAPELLI CARIELLO - Transferência | Pix</t>
        </is>
      </c>
      <c r="E534" s="3" t="n">
        <v>-94.25</v>
      </c>
      <c r="F534" s="3" t="inlineStr">
        <is>
          <t>Débito</t>
        </is>
      </c>
      <c r="G534" s="3" t="inlineStr">
        <is>
          <t>Marketing e Publicidade - Sem NF</t>
        </is>
      </c>
      <c r="H534" s="3" t="inlineStr">
        <is>
          <t>2025-10</t>
        </is>
      </c>
      <c r="I534" s="3" t="n"/>
      <c r="J534" s="3" t="n"/>
    </row>
    <row r="535">
      <c r="A535" s="6" t="n">
        <v>45940</v>
      </c>
      <c r="B535" s="3" t="inlineStr">
        <is>
          <t>Marketing &amp; Growth Expenses</t>
        </is>
      </c>
      <c r="C535" s="3" t="n"/>
      <c r="D535" s="3" t="inlineStr">
        <is>
          <t>Erika da Silva Vieira - Transferência | Pix</t>
        </is>
      </c>
      <c r="E535" s="3" t="n">
        <v>-176.75</v>
      </c>
      <c r="F535" s="3" t="inlineStr">
        <is>
          <t>Débito</t>
        </is>
      </c>
      <c r="G535" s="3" t="inlineStr">
        <is>
          <t>Marketing e Publicidade - Sem NF</t>
        </is>
      </c>
      <c r="H535" s="3" t="inlineStr">
        <is>
          <t>2025-10</t>
        </is>
      </c>
      <c r="I535" s="3" t="n"/>
      <c r="J535" s="3" t="n"/>
    </row>
    <row r="536">
      <c r="A536" s="6" t="n">
        <v>45940</v>
      </c>
      <c r="B536" s="3" t="inlineStr">
        <is>
          <t>Marketing &amp; Growth Expenses</t>
        </is>
      </c>
      <c r="C536" s="3" t="n"/>
      <c r="D536" s="3" t="inlineStr">
        <is>
          <t>FRANCISCO DAVI GOMES CASTRO - Transferência | Pix</t>
        </is>
      </c>
      <c r="E536" s="3" t="n">
        <v>-105.25</v>
      </c>
      <c r="F536" s="3" t="inlineStr">
        <is>
          <t>Débito</t>
        </is>
      </c>
      <c r="G536" s="3" t="inlineStr">
        <is>
          <t>Marketing e Publicidade - Sem NF</t>
        </is>
      </c>
      <c r="H536" s="3" t="inlineStr">
        <is>
          <t>2025-10</t>
        </is>
      </c>
      <c r="I536" s="3" t="n"/>
      <c r="J536" s="3" t="n"/>
    </row>
    <row r="537">
      <c r="A537" s="6" t="n">
        <v>45940</v>
      </c>
      <c r="B537" s="3" t="inlineStr">
        <is>
          <t>Marketing &amp; Growth Expenses</t>
        </is>
      </c>
      <c r="C537" s="3" t="n"/>
      <c r="D537" s="3" t="inlineStr">
        <is>
          <t>GABRIEL MARTINS GANZAROLLI - Transferência | Pix</t>
        </is>
      </c>
      <c r="E537" s="3" t="n">
        <v>-71.5</v>
      </c>
      <c r="F537" s="3" t="inlineStr">
        <is>
          <t>Débito</t>
        </is>
      </c>
      <c r="G537" s="3" t="inlineStr">
        <is>
          <t>Marketing e Publicidade - Sem NF</t>
        </is>
      </c>
      <c r="H537" s="3" t="inlineStr">
        <is>
          <t>2025-10</t>
        </is>
      </c>
      <c r="I537" s="3" t="n"/>
      <c r="J537" s="3" t="n"/>
    </row>
    <row r="538">
      <c r="A538" s="6" t="n">
        <v>45940</v>
      </c>
      <c r="B538" s="3" t="inlineStr">
        <is>
          <t>Marketing &amp; Growth Expenses</t>
        </is>
      </c>
      <c r="C538" s="3" t="n"/>
      <c r="D538" s="3" t="inlineStr">
        <is>
          <t>Eronilson Vieira Da Silva - Transferência | Pix</t>
        </is>
      </c>
      <c r="E538" s="3" t="n">
        <v>-189.5</v>
      </c>
      <c r="F538" s="3" t="inlineStr">
        <is>
          <t>Débito</t>
        </is>
      </c>
      <c r="G538" s="3" t="inlineStr">
        <is>
          <t>Marketing e Publicidade - Sem NF</t>
        </is>
      </c>
      <c r="H538" s="3" t="inlineStr">
        <is>
          <t>2025-10</t>
        </is>
      </c>
      <c r="I538" s="3" t="n"/>
      <c r="J538" s="3" t="n"/>
    </row>
    <row r="539">
      <c r="A539" s="6" t="n">
        <v>45940</v>
      </c>
      <c r="B539" s="3" t="inlineStr">
        <is>
          <t>Marketing &amp; Growth Expenses</t>
        </is>
      </c>
      <c r="C539" s="3" t="n"/>
      <c r="D539" s="3" t="inlineStr">
        <is>
          <t>GASTANY RUDEL NGOMA MAKOSSO - Transferência | Pix</t>
        </is>
      </c>
      <c r="E539" s="3" t="n">
        <v>-53</v>
      </c>
      <c r="F539" s="3" t="inlineStr">
        <is>
          <t>Débito</t>
        </is>
      </c>
      <c r="G539" s="3" t="inlineStr">
        <is>
          <t>Marketing e Publicidade - Sem NF</t>
        </is>
      </c>
      <c r="H539" s="3" t="inlineStr">
        <is>
          <t>2025-10</t>
        </is>
      </c>
      <c r="I539" s="3" t="n"/>
      <c r="J539" s="3" t="n"/>
    </row>
    <row r="540">
      <c r="A540" s="6" t="n">
        <v>45940</v>
      </c>
      <c r="B540" s="3" t="inlineStr">
        <is>
          <t>Marketing &amp; Growth Expenses</t>
        </is>
      </c>
      <c r="C540" s="3" t="n"/>
      <c r="D540" s="3" t="inlineStr">
        <is>
          <t>Felipe Carniato Machado - Transferência | Pix</t>
        </is>
      </c>
      <c r="E540" s="3" t="n">
        <v>-16.5</v>
      </c>
      <c r="F540" s="3" t="inlineStr">
        <is>
          <t>Débito</t>
        </is>
      </c>
      <c r="G540" s="3" t="inlineStr">
        <is>
          <t>Marketing e Publicidade - Sem NF</t>
        </is>
      </c>
      <c r="H540" s="3" t="inlineStr">
        <is>
          <t>2025-10</t>
        </is>
      </c>
      <c r="I540" s="3" t="n"/>
      <c r="J540" s="3" t="n"/>
    </row>
    <row r="541">
      <c r="A541" s="6" t="n">
        <v>45940</v>
      </c>
      <c r="B541" s="3" t="inlineStr">
        <is>
          <t>Marketing &amp; Growth Expenses</t>
        </is>
      </c>
      <c r="C541" s="3" t="n"/>
      <c r="D541" s="3" t="inlineStr">
        <is>
          <t>Franciene Eduarda da Silva - Transferência | Pix</t>
        </is>
      </c>
      <c r="E541" s="3" t="n">
        <v>-124.5</v>
      </c>
      <c r="F541" s="3" t="inlineStr">
        <is>
          <t>Débito</t>
        </is>
      </c>
      <c r="G541" s="3" t="inlineStr">
        <is>
          <t>Marketing e Publicidade - Sem NF</t>
        </is>
      </c>
      <c r="H541" s="3" t="inlineStr">
        <is>
          <t>2025-10</t>
        </is>
      </c>
      <c r="I541" s="3" t="n"/>
      <c r="J541" s="3" t="n"/>
    </row>
    <row r="542">
      <c r="A542" s="6" t="n">
        <v>45940</v>
      </c>
      <c r="B542" s="3" t="inlineStr">
        <is>
          <t>Marketing &amp; Growth Expenses</t>
        </is>
      </c>
      <c r="C542" s="3" t="n"/>
      <c r="D542" s="3" t="inlineStr">
        <is>
          <t>GUILHERME BAPTISTA FOUQUET QUAGLIO - Transferência | Pix</t>
        </is>
      </c>
      <c r="E542" s="3" t="n">
        <v>-160.25</v>
      </c>
      <c r="F542" s="3" t="inlineStr">
        <is>
          <t>Débito</t>
        </is>
      </c>
      <c r="G542" s="3" t="inlineStr">
        <is>
          <t>Marketing e Publicidade - Sem NF</t>
        </is>
      </c>
      <c r="H542" s="3" t="inlineStr">
        <is>
          <t>2025-10</t>
        </is>
      </c>
      <c r="I542" s="3" t="n"/>
      <c r="J542" s="3" t="n"/>
    </row>
    <row r="543">
      <c r="A543" s="6" t="n">
        <v>45940</v>
      </c>
      <c r="B543" s="3" t="inlineStr">
        <is>
          <t>Marketing &amp; Growth Expenses</t>
        </is>
      </c>
      <c r="C543" s="3" t="n"/>
      <c r="D543" s="3" t="inlineStr">
        <is>
          <t>GUILHERME BARIONI CRISTIOGLU - Transferência | Pix</t>
        </is>
      </c>
      <c r="E543" s="3" t="n">
        <v>-383.75</v>
      </c>
      <c r="F543" s="3" t="inlineStr">
        <is>
          <t>Débito</t>
        </is>
      </c>
      <c r="G543" s="3" t="inlineStr">
        <is>
          <t>Marketing e Publicidade - Sem NF</t>
        </is>
      </c>
      <c r="H543" s="3" t="inlineStr">
        <is>
          <t>2025-10</t>
        </is>
      </c>
      <c r="I543" s="3" t="n"/>
      <c r="J543" s="3" t="n"/>
    </row>
    <row r="544">
      <c r="A544" s="6" t="n">
        <v>45940</v>
      </c>
      <c r="B544" s="3" t="inlineStr">
        <is>
          <t>Marketing &amp; Growth Expenses</t>
        </is>
      </c>
      <c r="C544" s="3" t="n"/>
      <c r="D544" s="3" t="inlineStr">
        <is>
          <t>GUSTAVO PERGOLA COLOMBO - Transferência | Pix</t>
        </is>
      </c>
      <c r="E544" s="3" t="n">
        <v>-105.25</v>
      </c>
      <c r="F544" s="3" t="inlineStr">
        <is>
          <t>Débito</t>
        </is>
      </c>
      <c r="G544" s="3" t="inlineStr">
        <is>
          <t>Marketing e Publicidade - Sem NF</t>
        </is>
      </c>
      <c r="H544" s="3" t="inlineStr">
        <is>
          <t>2025-10</t>
        </is>
      </c>
      <c r="I544" s="3" t="n"/>
      <c r="J544" s="3" t="n"/>
    </row>
    <row r="545">
      <c r="A545" s="6" t="n">
        <v>45940</v>
      </c>
      <c r="B545" s="3" t="inlineStr">
        <is>
          <t>Marketing &amp; Growth Expenses</t>
        </is>
      </c>
      <c r="C545" s="3" t="n"/>
      <c r="D545" s="3" t="inlineStr">
        <is>
          <t>Jaci Dos Santos Ferreira - Transferência | Pix</t>
        </is>
      </c>
      <c r="E545" s="3" t="n">
        <v>-367.25</v>
      </c>
      <c r="F545" s="3" t="inlineStr">
        <is>
          <t>Débito</t>
        </is>
      </c>
      <c r="G545" s="3" t="inlineStr">
        <is>
          <t>Marketing e Publicidade - Sem NF</t>
        </is>
      </c>
      <c r="H545" s="3" t="inlineStr">
        <is>
          <t>2025-10</t>
        </is>
      </c>
      <c r="I545" s="3" t="n"/>
      <c r="J545" s="3" t="n"/>
    </row>
    <row r="546">
      <c r="A546" s="6" t="n">
        <v>45940</v>
      </c>
      <c r="B546" s="3" t="inlineStr">
        <is>
          <t>Marketing &amp; Growth Expenses</t>
        </is>
      </c>
      <c r="C546" s="3" t="n"/>
      <c r="D546" s="3" t="inlineStr">
        <is>
          <t>GUSTAVO PERGOLA COLOMBO - Transferência | Pix</t>
        </is>
      </c>
      <c r="E546" s="3" t="n">
        <v>-41.25</v>
      </c>
      <c r="F546" s="3" t="inlineStr">
        <is>
          <t>Débito</t>
        </is>
      </c>
      <c r="G546" s="3" t="inlineStr">
        <is>
          <t>Marketing e Publicidade - Sem NF</t>
        </is>
      </c>
      <c r="H546" s="3" t="inlineStr">
        <is>
          <t>2025-10</t>
        </is>
      </c>
      <c r="I546" s="3" t="n"/>
      <c r="J546" s="3" t="n"/>
    </row>
    <row r="547">
      <c r="A547" s="6" t="n">
        <v>45940</v>
      </c>
      <c r="B547" s="3" t="inlineStr">
        <is>
          <t>Marketing &amp; Growth Expenses</t>
        </is>
      </c>
      <c r="C547" s="3" t="n"/>
      <c r="D547" s="3" t="inlineStr">
        <is>
          <t>GUSTAVO PERGOLA COLOMBO - Transferência | Pix</t>
        </is>
      </c>
      <c r="E547" s="3" t="n">
        <v>-110.75</v>
      </c>
      <c r="F547" s="3" t="inlineStr">
        <is>
          <t>Débito</t>
        </is>
      </c>
      <c r="G547" s="3" t="inlineStr">
        <is>
          <t>Marketing e Publicidade - Sem NF</t>
        </is>
      </c>
      <c r="H547" s="3" t="inlineStr">
        <is>
          <t>2025-10</t>
        </is>
      </c>
      <c r="I547" s="3" t="n"/>
      <c r="J547" s="3" t="n"/>
    </row>
    <row r="548">
      <c r="A548" s="6" t="n">
        <v>45940</v>
      </c>
      <c r="B548" s="3" t="inlineStr">
        <is>
          <t>Marketing &amp; Growth Expenses</t>
        </is>
      </c>
      <c r="C548" s="3" t="n"/>
      <c r="D548" s="3" t="inlineStr">
        <is>
          <t>GUSTAVO SANTOS CORDEIRO - Transferência | Pix</t>
        </is>
      </c>
      <c r="E548" s="3" t="n">
        <v>-44</v>
      </c>
      <c r="F548" s="3" t="inlineStr">
        <is>
          <t>Débito</t>
        </is>
      </c>
      <c r="G548" s="3" t="inlineStr">
        <is>
          <t>Marketing e Publicidade - Sem NF</t>
        </is>
      </c>
      <c r="H548" s="3" t="inlineStr">
        <is>
          <t>2025-10</t>
        </is>
      </c>
      <c r="I548" s="3" t="n"/>
      <c r="J548" s="3" t="n"/>
    </row>
    <row r="549">
      <c r="A549" s="6" t="n">
        <v>45940</v>
      </c>
      <c r="B549" s="3" t="inlineStr">
        <is>
          <t>Marketing &amp; Growth Expenses</t>
        </is>
      </c>
      <c r="C549" s="3" t="n"/>
      <c r="D549" s="3" t="inlineStr">
        <is>
          <t>Gabriel Domingues Barbosa - Transferência | Pix</t>
        </is>
      </c>
      <c r="E549" s="3" t="n">
        <v>-2.75</v>
      </c>
      <c r="F549" s="3" t="inlineStr">
        <is>
          <t>Débito</t>
        </is>
      </c>
      <c r="G549" s="3" t="inlineStr">
        <is>
          <t>Marketing e Publicidade - Sem NF</t>
        </is>
      </c>
      <c r="H549" s="3" t="inlineStr">
        <is>
          <t>2025-10</t>
        </is>
      </c>
      <c r="I549" s="3" t="n"/>
      <c r="J549" s="3" t="n"/>
    </row>
    <row r="550">
      <c r="A550" s="6" t="n">
        <v>45940</v>
      </c>
      <c r="B550" s="3" t="inlineStr">
        <is>
          <t>Marketing &amp; Growth Expenses</t>
        </is>
      </c>
      <c r="C550" s="3" t="n"/>
      <c r="D550" s="3" t="inlineStr">
        <is>
          <t>IONE CRISTINA BEZERRA DA SILVA - Transferência | Pix</t>
        </is>
      </c>
      <c r="E550" s="3" t="n">
        <v>-383.75</v>
      </c>
      <c r="F550" s="3" t="inlineStr">
        <is>
          <t>Débito</t>
        </is>
      </c>
      <c r="G550" s="3" t="inlineStr">
        <is>
          <t>Marketing e Publicidade - Sem NF</t>
        </is>
      </c>
      <c r="H550" s="3" t="inlineStr">
        <is>
          <t>2025-10</t>
        </is>
      </c>
      <c r="I550" s="3" t="n"/>
      <c r="J550" s="3" t="n"/>
    </row>
    <row r="551">
      <c r="A551" s="6" t="n">
        <v>45940</v>
      </c>
      <c r="B551" s="3" t="inlineStr">
        <is>
          <t>Marketing &amp; Growth Expenses</t>
        </is>
      </c>
      <c r="C551" s="3" t="n"/>
      <c r="D551" s="3" t="inlineStr">
        <is>
          <t>ISABELY NAKAMURA MENTA - Transferência | Pix</t>
        </is>
      </c>
      <c r="E551" s="3" t="n">
        <v>-5.5</v>
      </c>
      <c r="F551" s="3" t="inlineStr">
        <is>
          <t>Débito</t>
        </is>
      </c>
      <c r="G551" s="3" t="inlineStr">
        <is>
          <t>Marketing e Publicidade - Sem NF</t>
        </is>
      </c>
      <c r="H551" s="3" t="inlineStr">
        <is>
          <t>2025-10</t>
        </is>
      </c>
      <c r="I551" s="3" t="n"/>
      <c r="J551" s="3" t="n"/>
    </row>
    <row r="552">
      <c r="A552" s="6" t="n">
        <v>45940</v>
      </c>
      <c r="B552" s="3" t="inlineStr">
        <is>
          <t>Marketing &amp; Growth Expenses</t>
        </is>
      </c>
      <c r="C552" s="3" t="n"/>
      <c r="D552" s="3" t="inlineStr">
        <is>
          <t>Jheferson Prado Barbosa - Transferência | Pix</t>
        </is>
      </c>
      <c r="E552" s="3" t="n">
        <v>-49.5</v>
      </c>
      <c r="F552" s="3" t="inlineStr">
        <is>
          <t>Débito</t>
        </is>
      </c>
      <c r="G552" s="3" t="inlineStr">
        <is>
          <t>Marketing e Publicidade - Sem NF</t>
        </is>
      </c>
      <c r="H552" s="3" t="inlineStr">
        <is>
          <t>2025-10</t>
        </is>
      </c>
      <c r="I552" s="3" t="n"/>
      <c r="J552" s="3" t="n"/>
    </row>
    <row r="553">
      <c r="A553" s="6" t="n">
        <v>45940</v>
      </c>
      <c r="B553" s="3" t="inlineStr">
        <is>
          <t>Marketing &amp; Growth Expenses</t>
        </is>
      </c>
      <c r="C553" s="3" t="n"/>
      <c r="D553" s="3" t="inlineStr">
        <is>
          <t>Jivanilda Conceicao Da Rocha - Transferência | Pix</t>
        </is>
      </c>
      <c r="E553" s="3" t="n">
        <v>-5.5</v>
      </c>
      <c r="F553" s="3" t="inlineStr">
        <is>
          <t>Débito</t>
        </is>
      </c>
      <c r="G553" s="3" t="inlineStr">
        <is>
          <t>Marketing e Publicidade - Sem NF</t>
        </is>
      </c>
      <c r="H553" s="3" t="inlineStr">
        <is>
          <t>2025-10</t>
        </is>
      </c>
      <c r="I553" s="3" t="n"/>
      <c r="J553" s="3" t="n"/>
    </row>
    <row r="554">
      <c r="A554" s="6" t="n">
        <v>45940</v>
      </c>
      <c r="B554" s="3" t="inlineStr">
        <is>
          <t>Marketing &amp; Growth Expenses</t>
        </is>
      </c>
      <c r="C554" s="3" t="n"/>
      <c r="D554" s="3" t="inlineStr">
        <is>
          <t>Gilmar Bomfim Rocha Lino Junior - Transferência | Pix</t>
        </is>
      </c>
      <c r="E554" s="3" t="n">
        <v>-309.5</v>
      </c>
      <c r="F554" s="3" t="inlineStr">
        <is>
          <t>Débito</t>
        </is>
      </c>
      <c r="G554" s="3" t="inlineStr">
        <is>
          <t>Marketing e Publicidade - Sem NF</t>
        </is>
      </c>
      <c r="H554" s="3" t="inlineStr">
        <is>
          <t>2025-10</t>
        </is>
      </c>
      <c r="I554" s="3" t="n"/>
      <c r="J554" s="3" t="n"/>
    </row>
    <row r="555">
      <c r="A555" s="6" t="n">
        <v>45940</v>
      </c>
      <c r="B555" s="3" t="inlineStr">
        <is>
          <t>Marketing &amp; Growth Expenses</t>
        </is>
      </c>
      <c r="C555" s="3" t="n"/>
      <c r="D555" s="3" t="inlineStr">
        <is>
          <t>Joao Pedro Martins - Transferência | Pix</t>
        </is>
      </c>
      <c r="E555" s="3" t="n">
        <v>-27.5</v>
      </c>
      <c r="F555" s="3" t="inlineStr">
        <is>
          <t>Débito</t>
        </is>
      </c>
      <c r="G555" s="3" t="inlineStr">
        <is>
          <t>Marketing e Publicidade - Sem NF</t>
        </is>
      </c>
      <c r="H555" s="3" t="inlineStr">
        <is>
          <t>2025-10</t>
        </is>
      </c>
      <c r="I555" s="3" t="n"/>
      <c r="J555" s="3" t="n"/>
    </row>
    <row r="556">
      <c r="A556" s="6" t="n">
        <v>45940</v>
      </c>
      <c r="B556" s="3" t="inlineStr">
        <is>
          <t>Marketing &amp; Growth Expenses</t>
        </is>
      </c>
      <c r="C556" s="3" t="n"/>
      <c r="D556" s="3" t="inlineStr">
        <is>
          <t>JOAO VICTOR BOARATI DE OLIVEIRA - Transferência | Pix</t>
        </is>
      </c>
      <c r="E556" s="3" t="n">
        <v>-179.5</v>
      </c>
      <c r="F556" s="3" t="inlineStr">
        <is>
          <t>Débito</t>
        </is>
      </c>
      <c r="G556" s="3" t="inlineStr">
        <is>
          <t>Marketing e Publicidade - Sem NF</t>
        </is>
      </c>
      <c r="H556" s="3" t="inlineStr">
        <is>
          <t>2025-10</t>
        </is>
      </c>
      <c r="I556" s="3" t="n"/>
      <c r="J556" s="3" t="n"/>
    </row>
    <row r="557">
      <c r="A557" s="6" t="n">
        <v>45940</v>
      </c>
      <c r="B557" s="3" t="inlineStr">
        <is>
          <t>Marketing &amp; Growth Expenses</t>
        </is>
      </c>
      <c r="C557" s="3" t="n"/>
      <c r="D557" s="3" t="inlineStr">
        <is>
          <t>Johny dos Santos Rocha - Transferência | Pix</t>
        </is>
      </c>
      <c r="E557" s="3" t="n">
        <v>-8.25</v>
      </c>
      <c r="F557" s="3" t="inlineStr">
        <is>
          <t>Débito</t>
        </is>
      </c>
      <c r="G557" s="3" t="inlineStr">
        <is>
          <t>Marketing e Publicidade - Sem NF</t>
        </is>
      </c>
      <c r="H557" s="3" t="inlineStr">
        <is>
          <t>2025-10</t>
        </is>
      </c>
      <c r="I557" s="3" t="n"/>
      <c r="J557" s="3" t="n"/>
    </row>
    <row r="558">
      <c r="A558" s="6" t="n">
        <v>45940</v>
      </c>
      <c r="B558" s="3" t="inlineStr">
        <is>
          <t>Marketing &amp; Growth Expenses</t>
        </is>
      </c>
      <c r="C558" s="3" t="n"/>
      <c r="D558" s="3" t="inlineStr">
        <is>
          <t>Gilvania Xavier Dos Santos - Transferência | Pix</t>
        </is>
      </c>
      <c r="E558" s="3" t="n">
        <v>-160.25</v>
      </c>
      <c r="F558" s="3" t="inlineStr">
        <is>
          <t>Débito</t>
        </is>
      </c>
      <c r="G558" s="3" t="inlineStr">
        <is>
          <t>Marketing e Publicidade - Sem NF</t>
        </is>
      </c>
      <c r="H558" s="3" t="inlineStr">
        <is>
          <t>2025-10</t>
        </is>
      </c>
      <c r="I558" s="3" t="n"/>
      <c r="J558" s="3" t="n"/>
    </row>
    <row r="559">
      <c r="A559" s="6" t="n">
        <v>45940</v>
      </c>
      <c r="B559" s="3" t="inlineStr">
        <is>
          <t>Marketing &amp; Growth Expenses</t>
        </is>
      </c>
      <c r="C559" s="3" t="n"/>
      <c r="D559" s="3" t="inlineStr">
        <is>
          <t>Kailayne Vitoria Queiroz Augusto - Transferência | Pix</t>
        </is>
      </c>
      <c r="E559" s="3" t="n">
        <v>-121.75</v>
      </c>
      <c r="F559" s="3" t="inlineStr">
        <is>
          <t>Débito</t>
        </is>
      </c>
      <c r="G559" s="3" t="inlineStr">
        <is>
          <t>Marketing e Publicidade - Sem NF</t>
        </is>
      </c>
      <c r="H559" s="3" t="inlineStr">
        <is>
          <t>2025-10</t>
        </is>
      </c>
      <c r="I559" s="3" t="n"/>
      <c r="J559" s="3" t="n"/>
    </row>
    <row r="560">
      <c r="A560" s="6" t="n">
        <v>45940</v>
      </c>
      <c r="B560" s="3" t="inlineStr">
        <is>
          <t>Marketing &amp; Growth Expenses</t>
        </is>
      </c>
      <c r="C560" s="3" t="n"/>
      <c r="D560" s="3" t="inlineStr">
        <is>
          <t>Giovanna Alves Dellanava - Transferência | Pix</t>
        </is>
      </c>
      <c r="E560" s="3" t="n">
        <v>-215.25</v>
      </c>
      <c r="F560" s="3" t="inlineStr">
        <is>
          <t>Débito</t>
        </is>
      </c>
      <c r="G560" s="3" t="inlineStr">
        <is>
          <t>Marketing e Publicidade - Sem NF</t>
        </is>
      </c>
      <c r="H560" s="3" t="inlineStr">
        <is>
          <t>2025-10</t>
        </is>
      </c>
      <c r="I560" s="3" t="n"/>
      <c r="J560" s="3" t="n"/>
    </row>
    <row r="561">
      <c r="A561" s="6" t="n">
        <v>45940</v>
      </c>
      <c r="B561" s="3" t="inlineStr">
        <is>
          <t>Marketing &amp; Growth Expenses</t>
        </is>
      </c>
      <c r="C561" s="3" t="n"/>
      <c r="D561" s="3" t="inlineStr">
        <is>
          <t>Jonathan Aparecido de Souza - Transferência | Pix</t>
        </is>
      </c>
      <c r="E561" s="3" t="n">
        <v>-27.5</v>
      </c>
      <c r="F561" s="3" t="inlineStr">
        <is>
          <t>Débito</t>
        </is>
      </c>
      <c r="G561" s="3" t="inlineStr">
        <is>
          <t>Marketing e Publicidade - Sem NF</t>
        </is>
      </c>
      <c r="H561" s="3" t="inlineStr">
        <is>
          <t>2025-10</t>
        </is>
      </c>
      <c r="I561" s="3" t="n"/>
      <c r="J561" s="3" t="n"/>
    </row>
    <row r="562">
      <c r="A562" s="6" t="n">
        <v>45940</v>
      </c>
      <c r="B562" s="3" t="inlineStr">
        <is>
          <t>Marketing &amp; Growth Expenses</t>
        </is>
      </c>
      <c r="C562" s="3" t="n"/>
      <c r="D562" s="3" t="inlineStr">
        <is>
          <t>Krestian Said - Transferência | Pix</t>
        </is>
      </c>
      <c r="E562" s="3" t="n">
        <v>-287</v>
      </c>
      <c r="F562" s="3" t="inlineStr">
        <is>
          <t>Débito</t>
        </is>
      </c>
      <c r="G562" s="3" t="inlineStr">
        <is>
          <t>Marketing e Publicidade - Sem NF</t>
        </is>
      </c>
      <c r="H562" s="3" t="inlineStr">
        <is>
          <t>2025-10</t>
        </is>
      </c>
      <c r="I562" s="3" t="n"/>
      <c r="J562" s="3" t="n"/>
    </row>
    <row r="563">
      <c r="A563" s="6" t="n">
        <v>45940</v>
      </c>
      <c r="B563" s="3" t="inlineStr">
        <is>
          <t>Marketing &amp; Growth Expenses</t>
        </is>
      </c>
      <c r="C563" s="3" t="n"/>
      <c r="D563" s="3" t="inlineStr">
        <is>
          <t>KAIANE DE OLIVEIRA DOS SANTOS - Transferência | Pix</t>
        </is>
      </c>
      <c r="E563" s="3" t="n">
        <v>-49.5</v>
      </c>
      <c r="F563" s="3" t="inlineStr">
        <is>
          <t>Débito</t>
        </is>
      </c>
      <c r="G563" s="3" t="inlineStr">
        <is>
          <t>Marketing e Publicidade - Sem NF</t>
        </is>
      </c>
      <c r="H563" s="3" t="inlineStr">
        <is>
          <t>2025-10</t>
        </is>
      </c>
      <c r="I563" s="3" t="n"/>
      <c r="J563" s="3" t="n"/>
    </row>
    <row r="564">
      <c r="A564" s="6" t="n">
        <v>45940</v>
      </c>
      <c r="B564" s="3" t="inlineStr">
        <is>
          <t>Marketing &amp; Growth Expenses</t>
        </is>
      </c>
      <c r="C564" s="3" t="n"/>
      <c r="D564" s="3" t="inlineStr">
        <is>
          <t>Kaylane Cristina Marin Alves - Transferência | Pix</t>
        </is>
      </c>
      <c r="E564" s="3" t="n">
        <v>-152</v>
      </c>
      <c r="F564" s="3" t="inlineStr">
        <is>
          <t>Débito</t>
        </is>
      </c>
      <c r="G564" s="3" t="inlineStr">
        <is>
          <t>Marketing e Publicidade - Sem NF</t>
        </is>
      </c>
      <c r="H564" s="3" t="inlineStr">
        <is>
          <t>2025-10</t>
        </is>
      </c>
      <c r="I564" s="3" t="n"/>
      <c r="J564" s="3" t="n"/>
    </row>
    <row r="565">
      <c r="A565" s="6" t="n">
        <v>45940</v>
      </c>
      <c r="B565" s="3" t="inlineStr">
        <is>
          <t>Marketing &amp; Growth Expenses</t>
        </is>
      </c>
      <c r="C565" s="3" t="n"/>
      <c r="D565" s="3" t="inlineStr">
        <is>
          <t>JOAO VITOR CANAVESI CARDOSO - Transferência | Pix</t>
        </is>
      </c>
      <c r="E565" s="3" t="n">
        <v>-63.25</v>
      </c>
      <c r="F565" s="3" t="inlineStr">
        <is>
          <t>Débito</t>
        </is>
      </c>
      <c r="G565" s="3" t="inlineStr">
        <is>
          <t>Marketing e Publicidade - Sem NF</t>
        </is>
      </c>
      <c r="H565" s="3" t="inlineStr">
        <is>
          <t>2025-10</t>
        </is>
      </c>
      <c r="I565" s="3" t="n"/>
      <c r="J565" s="3" t="n"/>
    </row>
    <row r="566">
      <c r="A566" s="6" t="n">
        <v>45940</v>
      </c>
      <c r="B566" s="3" t="inlineStr">
        <is>
          <t>Marketing &amp; Growth Expenses</t>
        </is>
      </c>
      <c r="C566" s="3" t="n"/>
      <c r="D566" s="3" t="inlineStr">
        <is>
          <t>JORGE LUCAS FRANCO FERREIRA - Transferência | Pix</t>
        </is>
      </c>
      <c r="E566" s="3" t="n">
        <v>-113.5</v>
      </c>
      <c r="F566" s="3" t="inlineStr">
        <is>
          <t>Débito</t>
        </is>
      </c>
      <c r="G566" s="3" t="inlineStr">
        <is>
          <t>Marketing e Publicidade - Sem NF</t>
        </is>
      </c>
      <c r="H566" s="3" t="inlineStr">
        <is>
          <t>2025-10</t>
        </is>
      </c>
      <c r="I566" s="3" t="n"/>
      <c r="J566" s="3" t="n"/>
    </row>
    <row r="567">
      <c r="A567" s="6" t="n">
        <v>45940</v>
      </c>
      <c r="B567" s="3" t="inlineStr">
        <is>
          <t>Marketing &amp; Growth Expenses</t>
        </is>
      </c>
      <c r="C567" s="3" t="n"/>
      <c r="D567" s="3" t="inlineStr">
        <is>
          <t>LARA RODRIGUES DOS SANTOS - Transferência | Pix</t>
        </is>
      </c>
      <c r="E567" s="3" t="n">
        <v>-52.25</v>
      </c>
      <c r="F567" s="3" t="inlineStr">
        <is>
          <t>Débito</t>
        </is>
      </c>
      <c r="G567" s="3" t="inlineStr">
        <is>
          <t>Marketing e Publicidade - Sem NF</t>
        </is>
      </c>
      <c r="H567" s="3" t="inlineStr">
        <is>
          <t>2025-10</t>
        </is>
      </c>
      <c r="I567" s="3" t="n"/>
      <c r="J567" s="3" t="n"/>
    </row>
    <row r="568">
      <c r="A568" s="6" t="n">
        <v>45940</v>
      </c>
      <c r="B568" s="3" t="inlineStr">
        <is>
          <t>Marketing &amp; Growth Expenses</t>
        </is>
      </c>
      <c r="C568" s="3" t="n"/>
      <c r="D568" s="3" t="inlineStr">
        <is>
          <t>KAYCK DE SOUZA VIANNA - Transferência | Pix</t>
        </is>
      </c>
      <c r="E568" s="3" t="n">
        <v>-5.5</v>
      </c>
      <c r="F568" s="3" t="inlineStr">
        <is>
          <t>Débito</t>
        </is>
      </c>
      <c r="G568" s="3" t="inlineStr">
        <is>
          <t>Marketing e Publicidade - Sem NF</t>
        </is>
      </c>
      <c r="H568" s="3" t="inlineStr">
        <is>
          <t>2025-10</t>
        </is>
      </c>
      <c r="I568" s="3" t="n"/>
      <c r="J568" s="3" t="n"/>
    </row>
    <row r="569">
      <c r="A569" s="6" t="n">
        <v>45940</v>
      </c>
      <c r="B569" s="3" t="inlineStr">
        <is>
          <t>Marketing &amp; Growth Expenses</t>
        </is>
      </c>
      <c r="C569" s="3" t="n"/>
      <c r="D569" s="3" t="inlineStr">
        <is>
          <t>JUAN PAIVA GOMES - Transferência | Pix</t>
        </is>
      </c>
      <c r="E569" s="3" t="n">
        <v>-146.5</v>
      </c>
      <c r="F569" s="3" t="inlineStr">
        <is>
          <t>Débito</t>
        </is>
      </c>
      <c r="G569" s="3" t="inlineStr">
        <is>
          <t>Marketing e Publicidade - Sem NF</t>
        </is>
      </c>
      <c r="H569" s="3" t="inlineStr">
        <is>
          <t>2025-10</t>
        </is>
      </c>
      <c r="I569" s="3" t="n"/>
      <c r="J569" s="3" t="n"/>
    </row>
    <row r="570">
      <c r="A570" s="6" t="n">
        <v>45940</v>
      </c>
      <c r="B570" s="3" t="inlineStr">
        <is>
          <t>Marketing &amp; Growth Expenses</t>
        </is>
      </c>
      <c r="C570" s="3" t="n"/>
      <c r="D570" s="3" t="inlineStr">
        <is>
          <t>Girlene Lima Cordeiro - Transferência | Pix</t>
        </is>
      </c>
      <c r="E570" s="3" t="n">
        <v>-75</v>
      </c>
      <c r="F570" s="3" t="inlineStr">
        <is>
          <t>Débito</t>
        </is>
      </c>
      <c r="G570" s="3" t="inlineStr">
        <is>
          <t>Marketing e Publicidade - Sem NF</t>
        </is>
      </c>
      <c r="H570" s="3" t="inlineStr">
        <is>
          <t>2025-10</t>
        </is>
      </c>
      <c r="I570" s="3" t="n"/>
      <c r="J570" s="3" t="n"/>
    </row>
    <row r="571">
      <c r="A571" s="6" t="n">
        <v>45940</v>
      </c>
      <c r="B571" s="3" t="inlineStr">
        <is>
          <t>Marketing &amp; Growth Expenses</t>
        </is>
      </c>
      <c r="C571" s="3" t="n"/>
      <c r="D571" s="3" t="inlineStr">
        <is>
          <t>MARCIA LIMA DOS SANTOS - Transferência | Pix</t>
        </is>
      </c>
      <c r="E571" s="3" t="n">
        <v>-38.5</v>
      </c>
      <c r="F571" s="3" t="inlineStr">
        <is>
          <t>Débito</t>
        </is>
      </c>
      <c r="G571" s="3" t="inlineStr">
        <is>
          <t>Marketing e Publicidade - Sem NF</t>
        </is>
      </c>
      <c r="H571" s="3" t="inlineStr">
        <is>
          <t>2025-10</t>
        </is>
      </c>
      <c r="I571" s="3" t="n"/>
      <c r="J571" s="3" t="n"/>
    </row>
    <row r="572">
      <c r="A572" s="6" t="n">
        <v>45940</v>
      </c>
      <c r="B572" s="3" t="inlineStr">
        <is>
          <t>Marketing &amp; Growth Expenses</t>
        </is>
      </c>
      <c r="C572" s="3" t="n"/>
      <c r="D572" s="3" t="inlineStr">
        <is>
          <t>MARCIELI BALDIN - Transferência | Pix</t>
        </is>
      </c>
      <c r="E572" s="3" t="n">
        <v>-242.75</v>
      </c>
      <c r="F572" s="3" t="inlineStr">
        <is>
          <t>Débito</t>
        </is>
      </c>
      <c r="G572" s="3" t="inlineStr">
        <is>
          <t>Marketing e Publicidade - Sem NF</t>
        </is>
      </c>
      <c r="H572" s="3" t="inlineStr">
        <is>
          <t>2025-10</t>
        </is>
      </c>
      <c r="I572" s="3" t="n"/>
      <c r="J572" s="3" t="n"/>
    </row>
    <row r="573">
      <c r="A573" s="6" t="n">
        <v>45940</v>
      </c>
      <c r="B573" s="3" t="inlineStr">
        <is>
          <t>Marketing &amp; Growth Expenses</t>
        </is>
      </c>
      <c r="C573" s="3" t="n"/>
      <c r="D573" s="3" t="inlineStr">
        <is>
          <t>LEONARDO FIGUEIREDO SILVA - Transferência | Pix</t>
        </is>
      </c>
      <c r="E573" s="3" t="n">
        <v>-149.25</v>
      </c>
      <c r="F573" s="3" t="inlineStr">
        <is>
          <t>Débito</t>
        </is>
      </c>
      <c r="G573" s="3" t="inlineStr">
        <is>
          <t>Marketing e Publicidade - Sem NF</t>
        </is>
      </c>
      <c r="H573" s="3" t="inlineStr">
        <is>
          <t>2025-10</t>
        </is>
      </c>
      <c r="I573" s="3" t="n"/>
      <c r="J573" s="3" t="n"/>
    </row>
    <row r="574">
      <c r="A574" s="6" t="n">
        <v>45940</v>
      </c>
      <c r="B574" s="3" t="inlineStr">
        <is>
          <t>Marketing &amp; Growth Expenses</t>
        </is>
      </c>
      <c r="C574" s="3" t="n"/>
      <c r="D574" s="3" t="inlineStr">
        <is>
          <t>LETICIA GOUVEIA CELESTINO - Transferência | Pix</t>
        </is>
      </c>
      <c r="E574" s="3" t="n">
        <v>-85.25</v>
      </c>
      <c r="F574" s="3" t="inlineStr">
        <is>
          <t>Débito</t>
        </is>
      </c>
      <c r="G574" s="3" t="inlineStr">
        <is>
          <t>Marketing e Publicidade - Sem NF</t>
        </is>
      </c>
      <c r="H574" s="3" t="inlineStr">
        <is>
          <t>2025-10</t>
        </is>
      </c>
      <c r="I574" s="3" t="n"/>
      <c r="J574" s="3" t="n"/>
    </row>
    <row r="575">
      <c r="A575" s="6" t="n">
        <v>45940</v>
      </c>
      <c r="B575" s="3" t="inlineStr">
        <is>
          <t>Marketing &amp; Growth Expenses</t>
        </is>
      </c>
      <c r="C575" s="3" t="n"/>
      <c r="D575" s="3" t="inlineStr">
        <is>
          <t>MARIA LUIZA FURLANETTO - Transferência | Pix</t>
        </is>
      </c>
      <c r="E575" s="3" t="n">
        <v>-71.5</v>
      </c>
      <c r="F575" s="3" t="inlineStr">
        <is>
          <t>Débito</t>
        </is>
      </c>
      <c r="G575" s="3" t="inlineStr">
        <is>
          <t>Marketing e Publicidade - Sem NF</t>
        </is>
      </c>
      <c r="H575" s="3" t="inlineStr">
        <is>
          <t>2025-10</t>
        </is>
      </c>
      <c r="I575" s="3" t="n"/>
      <c r="J575" s="3" t="n"/>
    </row>
    <row r="576">
      <c r="A576" s="6" t="n">
        <v>45940</v>
      </c>
      <c r="B576" s="3" t="inlineStr">
        <is>
          <t>Marketing &amp; Growth Expenses</t>
        </is>
      </c>
      <c r="C576" s="3" t="n"/>
      <c r="D576" s="3" t="inlineStr">
        <is>
          <t>MARIA GABRIELA SANTOS PINTO - Transferência | Pix</t>
        </is>
      </c>
      <c r="E576" s="3" t="n">
        <v>-60.5</v>
      </c>
      <c r="F576" s="3" t="inlineStr">
        <is>
          <t>Débito</t>
        </is>
      </c>
      <c r="G576" s="3" t="inlineStr">
        <is>
          <t>Marketing e Publicidade - Sem NF</t>
        </is>
      </c>
      <c r="H576" s="3" t="inlineStr">
        <is>
          <t>2025-10</t>
        </is>
      </c>
      <c r="I576" s="3" t="n"/>
      <c r="J576" s="3" t="n"/>
    </row>
    <row r="577">
      <c r="A577" s="6" t="n">
        <v>45940</v>
      </c>
      <c r="B577" s="3" t="inlineStr">
        <is>
          <t>Marketing &amp; Growth Expenses</t>
        </is>
      </c>
      <c r="C577" s="3" t="n"/>
      <c r="D577" s="3" t="inlineStr">
        <is>
          <t>LETICIA SCARDUELLI ASSELLI - Transferência | Pix</t>
        </is>
      </c>
      <c r="E577" s="3" t="n">
        <v>-27.5</v>
      </c>
      <c r="F577" s="3" t="inlineStr">
        <is>
          <t>Débito</t>
        </is>
      </c>
      <c r="G577" s="3" t="inlineStr">
        <is>
          <t>Marketing e Publicidade - Sem NF</t>
        </is>
      </c>
      <c r="H577" s="3" t="inlineStr">
        <is>
          <t>2025-10</t>
        </is>
      </c>
      <c r="I577" s="3" t="n"/>
      <c r="J577" s="3" t="n"/>
    </row>
    <row r="578">
      <c r="A578" s="6" t="n">
        <v>45940</v>
      </c>
      <c r="B578" s="3" t="inlineStr">
        <is>
          <t>Marketing &amp; Growth Expenses</t>
        </is>
      </c>
      <c r="C578" s="3" t="n"/>
      <c r="D578" s="3" t="inlineStr">
        <is>
          <t>MARIANA BENTO SILVA - Transferência | Pix</t>
        </is>
      </c>
      <c r="E578" s="3" t="n">
        <v>-171.25</v>
      </c>
      <c r="F578" s="3" t="inlineStr">
        <is>
          <t>Débito</t>
        </is>
      </c>
      <c r="G578" s="3" t="inlineStr">
        <is>
          <t>Marketing e Publicidade - Sem NF</t>
        </is>
      </c>
      <c r="H578" s="3" t="inlineStr">
        <is>
          <t>2025-10</t>
        </is>
      </c>
      <c r="I578" s="3" t="n"/>
      <c r="J578" s="3" t="n"/>
    </row>
    <row r="579">
      <c r="A579" s="6" t="n">
        <v>45940</v>
      </c>
      <c r="B579" s="3" t="inlineStr">
        <is>
          <t>Marketing &amp; Growth Expenses</t>
        </is>
      </c>
      <c r="C579" s="3" t="n"/>
      <c r="D579" s="3" t="inlineStr">
        <is>
          <t>LUANA DE SOUZA CARMO - Transferência | Pix</t>
        </is>
      </c>
      <c r="E579" s="3" t="n">
        <v>-381</v>
      </c>
      <c r="F579" s="3" t="inlineStr">
        <is>
          <t>Débito</t>
        </is>
      </c>
      <c r="G579" s="3" t="inlineStr">
        <is>
          <t>Marketing e Publicidade - Sem NF</t>
        </is>
      </c>
      <c r="H579" s="3" t="inlineStr">
        <is>
          <t>2025-10</t>
        </is>
      </c>
      <c r="I579" s="3" t="n"/>
      <c r="J579" s="3" t="n"/>
    </row>
    <row r="580">
      <c r="A580" s="6" t="n">
        <v>45940</v>
      </c>
      <c r="B580" s="3" t="inlineStr">
        <is>
          <t>Marketing &amp; Growth Expenses</t>
        </is>
      </c>
      <c r="C580" s="3" t="n"/>
      <c r="D580" s="3" t="inlineStr">
        <is>
          <t>LUCAS GONZATTO SILVA - Transferência | Pix</t>
        </is>
      </c>
      <c r="E580" s="3" t="n">
        <v>-96.25</v>
      </c>
      <c r="F580" s="3" t="inlineStr">
        <is>
          <t>Débito</t>
        </is>
      </c>
      <c r="G580" s="3" t="inlineStr">
        <is>
          <t>Marketing e Publicidade - Sem NF</t>
        </is>
      </c>
      <c r="H580" s="3" t="inlineStr">
        <is>
          <t>2025-10</t>
        </is>
      </c>
      <c r="I580" s="3" t="n"/>
      <c r="J580" s="3" t="n"/>
    </row>
    <row r="581">
      <c r="A581" s="6" t="n">
        <v>45940</v>
      </c>
      <c r="B581" s="3" t="inlineStr">
        <is>
          <t>Marketing &amp; Growth Expenses</t>
        </is>
      </c>
      <c r="C581" s="3" t="n"/>
      <c r="D581" s="3" t="inlineStr">
        <is>
          <t>MARYA EDUARDA ALVES BARCELOS - Transferência | Pix</t>
        </is>
      </c>
      <c r="E581" s="3" t="n">
        <v>-71.5</v>
      </c>
      <c r="F581" s="3" t="inlineStr">
        <is>
          <t>Débito</t>
        </is>
      </c>
      <c r="G581" s="3" t="inlineStr">
        <is>
          <t>Marketing e Publicidade - Sem NF</t>
        </is>
      </c>
      <c r="H581" s="3" t="inlineStr">
        <is>
          <t>2025-10</t>
        </is>
      </c>
      <c r="I581" s="3" t="n"/>
      <c r="J581" s="3" t="n"/>
    </row>
    <row r="582">
      <c r="A582" s="6" t="n">
        <v>45940</v>
      </c>
      <c r="B582" s="3" t="inlineStr">
        <is>
          <t>Marketing &amp; Growth Expenses</t>
        </is>
      </c>
      <c r="C582" s="3" t="n"/>
      <c r="D582" s="3" t="inlineStr">
        <is>
          <t>Larah Kayane dos Reis Torres Vasques - Transferência | Pix</t>
        </is>
      </c>
      <c r="E582" s="3" t="n">
        <v>-33</v>
      </c>
      <c r="F582" s="3" t="inlineStr">
        <is>
          <t>Débito</t>
        </is>
      </c>
      <c r="G582" s="3" t="inlineStr">
        <is>
          <t>Marketing e Publicidade - Sem NF</t>
        </is>
      </c>
      <c r="H582" s="3" t="inlineStr">
        <is>
          <t>2025-10</t>
        </is>
      </c>
      <c r="I582" s="3" t="n"/>
      <c r="J582" s="3" t="n"/>
    </row>
    <row r="583">
      <c r="A583" s="6" t="n">
        <v>45940</v>
      </c>
      <c r="B583" s="3" t="inlineStr">
        <is>
          <t>Marketing &amp; Growth Expenses</t>
        </is>
      </c>
      <c r="C583" s="3" t="n"/>
      <c r="D583" s="3" t="inlineStr">
        <is>
          <t>MATHEUS ALBERTO DELFINO TRINDADE - Transferência | Pix</t>
        </is>
      </c>
      <c r="E583" s="3" t="n">
        <v>-129</v>
      </c>
      <c r="F583" s="3" t="inlineStr">
        <is>
          <t>Débito</t>
        </is>
      </c>
      <c r="G583" s="3" t="inlineStr">
        <is>
          <t>Marketing e Publicidade - Sem NF</t>
        </is>
      </c>
      <c r="H583" s="3" t="inlineStr">
        <is>
          <t>2025-10</t>
        </is>
      </c>
      <c r="I583" s="3" t="n"/>
      <c r="J583" s="3" t="n"/>
    </row>
    <row r="584">
      <c r="A584" s="6" t="n">
        <v>45940</v>
      </c>
      <c r="B584" s="3" t="inlineStr">
        <is>
          <t>Marketing &amp; Growth Expenses</t>
        </is>
      </c>
      <c r="C584" s="3" t="n"/>
      <c r="D584" s="3" t="inlineStr">
        <is>
          <t>Letycia Helloise dos Reis - Transferência | Pix</t>
        </is>
      </c>
      <c r="E584" s="3" t="n">
        <v>-235.25</v>
      </c>
      <c r="F584" s="3" t="inlineStr">
        <is>
          <t>Débito</t>
        </is>
      </c>
      <c r="G584" s="3" t="inlineStr">
        <is>
          <t>Marketing e Publicidade - Sem NF</t>
        </is>
      </c>
      <c r="H584" s="3" t="inlineStr">
        <is>
          <t>2025-10</t>
        </is>
      </c>
      <c r="I584" s="3" t="n"/>
      <c r="J584" s="3" t="n"/>
    </row>
    <row r="585">
      <c r="A585" s="6" t="n">
        <v>45940</v>
      </c>
      <c r="B585" s="3" t="inlineStr">
        <is>
          <t>Marketing &amp; Growth Expenses</t>
        </is>
      </c>
      <c r="C585" s="3" t="n"/>
      <c r="D585" s="3" t="inlineStr">
        <is>
          <t>Manuela De Fatima Caparra Lopes - Transferência | Pix</t>
        </is>
      </c>
      <c r="E585" s="3" t="n">
        <v>-44</v>
      </c>
      <c r="F585" s="3" t="inlineStr">
        <is>
          <t>Débito</t>
        </is>
      </c>
      <c r="G585" s="3" t="inlineStr">
        <is>
          <t>Marketing e Publicidade - Sem NF</t>
        </is>
      </c>
      <c r="H585" s="3" t="inlineStr">
        <is>
          <t>2025-10</t>
        </is>
      </c>
      <c r="I585" s="3" t="n"/>
      <c r="J585" s="3" t="n"/>
    </row>
    <row r="586">
      <c r="A586" s="6" t="n">
        <v>45940</v>
      </c>
      <c r="B586" s="3" t="inlineStr">
        <is>
          <t>Marketing &amp; Growth Expenses</t>
        </is>
      </c>
      <c r="C586" s="3" t="n"/>
      <c r="D586" s="3" t="inlineStr">
        <is>
          <t>MYRELLA DA SILVA DE LIMA - Transferência | Pix</t>
        </is>
      </c>
      <c r="E586" s="3" t="n">
        <v>-168.5</v>
      </c>
      <c r="F586" s="3" t="inlineStr">
        <is>
          <t>Débito</t>
        </is>
      </c>
      <c r="G586" s="3" t="inlineStr">
        <is>
          <t>Marketing e Publicidade - Sem NF</t>
        </is>
      </c>
      <c r="H586" s="3" t="inlineStr">
        <is>
          <t>2025-10</t>
        </is>
      </c>
      <c r="I586" s="3" t="n"/>
      <c r="J586" s="3" t="n"/>
    </row>
    <row r="587">
      <c r="A587" s="6" t="n">
        <v>45940</v>
      </c>
      <c r="B587" s="3" t="inlineStr">
        <is>
          <t>Marketing &amp; Growth Expenses</t>
        </is>
      </c>
      <c r="C587" s="3" t="n"/>
      <c r="D587" s="3" t="inlineStr">
        <is>
          <t>Maria Eduarda Barbosa Lima - Transferência | Pix</t>
        </is>
      </c>
      <c r="E587" s="3" t="n">
        <v>-173.25</v>
      </c>
      <c r="F587" s="3" t="inlineStr">
        <is>
          <t>Débito</t>
        </is>
      </c>
      <c r="G587" s="3" t="inlineStr">
        <is>
          <t>Marketing e Publicidade - Sem NF</t>
        </is>
      </c>
      <c r="H587" s="3" t="inlineStr">
        <is>
          <t>2025-10</t>
        </is>
      </c>
      <c r="I587" s="3" t="n"/>
      <c r="J587" s="3" t="n"/>
    </row>
    <row r="588">
      <c r="A588" s="6" t="n">
        <v>45940</v>
      </c>
      <c r="B588" s="3" t="inlineStr">
        <is>
          <t>Marketing &amp; Growth Expenses</t>
        </is>
      </c>
      <c r="C588" s="3" t="n"/>
      <c r="D588" s="3" t="inlineStr">
        <is>
          <t>Louize Vithoria Mota do Nascimento - Transferência | Pix</t>
        </is>
      </c>
      <c r="E588" s="3" t="n">
        <v>-35</v>
      </c>
      <c r="F588" s="3" t="inlineStr">
        <is>
          <t>Débito</t>
        </is>
      </c>
      <c r="G588" s="3" t="inlineStr">
        <is>
          <t>Marketing e Publicidade - Sem NF</t>
        </is>
      </c>
      <c r="H588" s="3" t="inlineStr">
        <is>
          <t>2025-10</t>
        </is>
      </c>
      <c r="I588" s="3" t="n"/>
      <c r="J588" s="3" t="n"/>
    </row>
    <row r="589">
      <c r="A589" s="6" t="n">
        <v>45940</v>
      </c>
      <c r="B589" s="3" t="inlineStr">
        <is>
          <t>Marketing &amp; Growth Expenses</t>
        </is>
      </c>
      <c r="C589" s="3" t="n"/>
      <c r="D589" s="3" t="inlineStr">
        <is>
          <t>Maria Eduarda Mineto Cangiani - Transferência | Pix</t>
        </is>
      </c>
      <c r="E589" s="3" t="n">
        <v>-88</v>
      </c>
      <c r="F589" s="3" t="inlineStr">
        <is>
          <t>Débito</t>
        </is>
      </c>
      <c r="G589" s="3" t="inlineStr">
        <is>
          <t>Marketing e Publicidade - Sem NF</t>
        </is>
      </c>
      <c r="H589" s="3" t="inlineStr">
        <is>
          <t>2025-10</t>
        </is>
      </c>
      <c r="I589" s="3" t="n"/>
      <c r="J589" s="3" t="n"/>
    </row>
    <row r="590">
      <c r="A590" s="6" t="n">
        <v>45940</v>
      </c>
      <c r="B590" s="3" t="inlineStr">
        <is>
          <t>Marketing &amp; Growth Expenses</t>
        </is>
      </c>
      <c r="C590" s="3" t="n"/>
      <c r="D590" s="3" t="inlineStr">
        <is>
          <t>Lucas Lisboa Ramos Serafin - Transferência | Pix</t>
        </is>
      </c>
      <c r="E590" s="3" t="n">
        <v>-90.75</v>
      </c>
      <c r="F590" s="3" t="inlineStr">
        <is>
          <t>Débito</t>
        </is>
      </c>
      <c r="G590" s="3" t="inlineStr">
        <is>
          <t>Marketing e Publicidade - Sem NF</t>
        </is>
      </c>
      <c r="H590" s="3" t="inlineStr">
        <is>
          <t>2025-10</t>
        </is>
      </c>
      <c r="I590" s="3" t="n"/>
      <c r="J590" s="3" t="n"/>
    </row>
    <row r="591">
      <c r="A591" s="6" t="n">
        <v>45940</v>
      </c>
      <c r="B591" s="3" t="inlineStr">
        <is>
          <t>Marketing &amp; Growth Expenses</t>
        </is>
      </c>
      <c r="C591" s="3" t="n"/>
      <c r="D591" s="3" t="inlineStr">
        <is>
          <t>Maria Eduarda Reis Leite - Transferência | Pix</t>
        </is>
      </c>
      <c r="E591" s="3" t="n">
        <v>-2.75</v>
      </c>
      <c r="F591" s="3" t="inlineStr">
        <is>
          <t>Débito</t>
        </is>
      </c>
      <c r="G591" s="3" t="inlineStr">
        <is>
          <t>Marketing e Publicidade - Sem NF</t>
        </is>
      </c>
      <c r="H591" s="3" t="inlineStr">
        <is>
          <t>2025-10</t>
        </is>
      </c>
      <c r="I591" s="3" t="n"/>
      <c r="J591" s="3" t="n"/>
    </row>
    <row r="592">
      <c r="A592" s="6" t="n">
        <v>45940</v>
      </c>
      <c r="B592" s="3" t="inlineStr">
        <is>
          <t>Marketing &amp; Growth Expenses</t>
        </is>
      </c>
      <c r="C592" s="3" t="n"/>
      <c r="D592" s="3" t="inlineStr">
        <is>
          <t>Mateus Das Merces Santos - Transferência | Pix</t>
        </is>
      </c>
      <c r="E592" s="3" t="n">
        <v>-60.5</v>
      </c>
      <c r="F592" s="3" t="inlineStr">
        <is>
          <t>Débito</t>
        </is>
      </c>
      <c r="G592" s="3" t="inlineStr">
        <is>
          <t>Marketing e Publicidade - Sem NF</t>
        </is>
      </c>
      <c r="H592" s="3" t="inlineStr">
        <is>
          <t>2025-10</t>
        </is>
      </c>
      <c r="I592" s="3" t="n"/>
      <c r="J592" s="3" t="n"/>
    </row>
    <row r="593">
      <c r="A593" s="6" t="n">
        <v>45940</v>
      </c>
      <c r="B593" s="3" t="inlineStr">
        <is>
          <t>Marketing &amp; Growth Expenses</t>
        </is>
      </c>
      <c r="C593" s="3" t="n"/>
      <c r="D593" s="3" t="inlineStr">
        <is>
          <t>Lucas Rafhael Germanos Paiva - Transferência | Pix</t>
        </is>
      </c>
      <c r="E593" s="3" t="n">
        <v>-190.5</v>
      </c>
      <c r="F593" s="3" t="inlineStr">
        <is>
          <t>Débito</t>
        </is>
      </c>
      <c r="G593" s="3" t="inlineStr">
        <is>
          <t>Marketing e Publicidade - Sem NF</t>
        </is>
      </c>
      <c r="H593" s="3" t="inlineStr">
        <is>
          <t>2025-10</t>
        </is>
      </c>
      <c r="I593" s="3" t="n"/>
      <c r="J593" s="3" t="n"/>
    </row>
    <row r="594">
      <c r="A594" s="6" t="n">
        <v>45940</v>
      </c>
      <c r="B594" s="3" t="inlineStr">
        <is>
          <t>Marketing &amp; Growth Expenses</t>
        </is>
      </c>
      <c r="C594" s="3" t="n"/>
      <c r="D594" s="3" t="inlineStr">
        <is>
          <t>Luiz Fernando Barbosa Alves - Transferência | Pix</t>
        </is>
      </c>
      <c r="E594" s="3" t="n">
        <v>-129.25</v>
      </c>
      <c r="F594" s="3" t="inlineStr">
        <is>
          <t>Débito</t>
        </is>
      </c>
      <c r="G594" s="3" t="inlineStr">
        <is>
          <t>Marketing e Publicidade - Sem NF</t>
        </is>
      </c>
      <c r="H594" s="3" t="inlineStr">
        <is>
          <t>2025-10</t>
        </is>
      </c>
      <c r="I594" s="3" t="n"/>
      <c r="J594" s="3" t="n"/>
    </row>
    <row r="595">
      <c r="A595" s="6" t="n">
        <v>45940</v>
      </c>
      <c r="B595" s="3" t="inlineStr">
        <is>
          <t>Marketing &amp; Growth Expenses</t>
        </is>
      </c>
      <c r="C595" s="3" t="n"/>
      <c r="D595" s="3" t="inlineStr">
        <is>
          <t>Matheus Martins de Carvalho - Transferência | Pix</t>
        </is>
      </c>
      <c r="E595" s="3" t="n">
        <v>-259</v>
      </c>
      <c r="F595" s="3" t="inlineStr">
        <is>
          <t>Débito</t>
        </is>
      </c>
      <c r="G595" s="3" t="inlineStr">
        <is>
          <t>Marketing e Publicidade - Sem NF</t>
        </is>
      </c>
      <c r="H595" s="3" t="inlineStr">
        <is>
          <t>2025-10</t>
        </is>
      </c>
      <c r="I595" s="3" t="n"/>
      <c r="J595" s="3" t="n"/>
    </row>
    <row r="596">
      <c r="A596" s="6" t="n">
        <v>45940</v>
      </c>
      <c r="B596" s="3" t="inlineStr">
        <is>
          <t>Marketing &amp; Growth Expenses</t>
        </is>
      </c>
      <c r="C596" s="3" t="n"/>
      <c r="D596" s="3" t="inlineStr">
        <is>
          <t>Matthaues Krummenauer Vieira Pahim - Transferência | Pix</t>
        </is>
      </c>
      <c r="E596" s="3" t="n">
        <v>-57.75</v>
      </c>
      <c r="F596" s="3" t="inlineStr">
        <is>
          <t>Débito</t>
        </is>
      </c>
      <c r="G596" s="3" t="inlineStr">
        <is>
          <t>Marketing e Publicidade - Sem NF</t>
        </is>
      </c>
      <c r="H596" s="3" t="inlineStr">
        <is>
          <t>2025-10</t>
        </is>
      </c>
      <c r="I596" s="3" t="n"/>
      <c r="J596" s="3" t="n"/>
    </row>
    <row r="597">
      <c r="A597" s="6" t="n">
        <v>45940</v>
      </c>
      <c r="B597" s="3" t="inlineStr">
        <is>
          <t>Marketing &amp; Growth Expenses</t>
        </is>
      </c>
      <c r="C597" s="3" t="n"/>
      <c r="D597" s="3" t="inlineStr">
        <is>
          <t>Michelle Busata De Souza - Transferência | Pix</t>
        </is>
      </c>
      <c r="E597" s="3" t="n">
        <v>-146.5</v>
      </c>
      <c r="F597" s="3" t="inlineStr">
        <is>
          <t>Débito</t>
        </is>
      </c>
      <c r="G597" s="3" t="inlineStr">
        <is>
          <t>Marketing e Publicidade - Sem NF</t>
        </is>
      </c>
      <c r="H597" s="3" t="inlineStr">
        <is>
          <t>2025-10</t>
        </is>
      </c>
      <c r="I597" s="3" t="n"/>
      <c r="J597" s="3" t="n"/>
    </row>
    <row r="598">
      <c r="A598" s="6" t="n">
        <v>45940</v>
      </c>
      <c r="B598" s="3" t="inlineStr">
        <is>
          <t>Marketing &amp; Growth Expenses</t>
        </is>
      </c>
      <c r="C598" s="3" t="n"/>
      <c r="D598" s="3" t="inlineStr">
        <is>
          <t>Milena Aparecida Kammer - Transferência | Pix</t>
        </is>
      </c>
      <c r="E598" s="3" t="n">
        <v>-33</v>
      </c>
      <c r="F598" s="3" t="inlineStr">
        <is>
          <t>Débito</t>
        </is>
      </c>
      <c r="G598" s="3" t="inlineStr">
        <is>
          <t>Marketing e Publicidade - Sem NF</t>
        </is>
      </c>
      <c r="H598" s="3" t="inlineStr">
        <is>
          <t>2025-10</t>
        </is>
      </c>
      <c r="I598" s="3" t="n"/>
      <c r="J598" s="3" t="n"/>
    </row>
    <row r="599">
      <c r="A599" s="6" t="n">
        <v>45940</v>
      </c>
      <c r="B599" s="3" t="inlineStr">
        <is>
          <t>Marketing &amp; Growth Expenses</t>
        </is>
      </c>
      <c r="C599" s="3" t="n"/>
      <c r="D599" s="3" t="inlineStr">
        <is>
          <t>RAFAEL SOUZA DE PINHO - Transferência | Pix</t>
        </is>
      </c>
      <c r="E599" s="3" t="n">
        <v>-38.5</v>
      </c>
      <c r="F599" s="3" t="inlineStr">
        <is>
          <t>Débito</t>
        </is>
      </c>
      <c r="G599" s="3" t="inlineStr">
        <is>
          <t>Marketing e Publicidade - Sem NF</t>
        </is>
      </c>
      <c r="H599" s="3" t="inlineStr">
        <is>
          <t>2025-10</t>
        </is>
      </c>
      <c r="I599" s="3" t="n"/>
      <c r="J599" s="3" t="n"/>
    </row>
    <row r="600">
      <c r="A600" s="6" t="n">
        <v>45940</v>
      </c>
      <c r="B600" s="3" t="inlineStr">
        <is>
          <t>Marketing &amp; Growth Expenses</t>
        </is>
      </c>
      <c r="C600" s="3" t="n"/>
      <c r="D600" s="3" t="inlineStr">
        <is>
          <t>Milena Maia da Silva - Transferência | Pix</t>
        </is>
      </c>
      <c r="E600" s="3" t="n">
        <v>-317.75</v>
      </c>
      <c r="F600" s="3" t="inlineStr">
        <is>
          <t>Débito</t>
        </is>
      </c>
      <c r="G600" s="3" t="inlineStr">
        <is>
          <t>Marketing e Publicidade - Sem NF</t>
        </is>
      </c>
      <c r="H600" s="3" t="inlineStr">
        <is>
          <t>2025-10</t>
        </is>
      </c>
      <c r="I600" s="3" t="n"/>
      <c r="J600" s="3" t="n"/>
    </row>
    <row r="601">
      <c r="A601" s="6" t="n">
        <v>45940</v>
      </c>
      <c r="B601" s="3" t="inlineStr">
        <is>
          <t>Marketing &amp; Growth Expenses</t>
        </is>
      </c>
      <c r="C601" s="3" t="n"/>
      <c r="D601" s="3" t="inlineStr">
        <is>
          <t>NICOLE RODRIGUES DA SILVA - Transferência | Pix</t>
        </is>
      </c>
      <c r="E601" s="3" t="n">
        <v>-182.25</v>
      </c>
      <c r="F601" s="3" t="inlineStr">
        <is>
          <t>Débito</t>
        </is>
      </c>
      <c r="G601" s="3" t="inlineStr">
        <is>
          <t>Marketing e Publicidade - Sem NF</t>
        </is>
      </c>
      <c r="H601" s="3" t="inlineStr">
        <is>
          <t>2025-10</t>
        </is>
      </c>
      <c r="I601" s="3" t="n"/>
      <c r="J601" s="3" t="n"/>
    </row>
    <row r="602">
      <c r="A602" s="6" t="n">
        <v>45940</v>
      </c>
      <c r="B602" s="3" t="inlineStr">
        <is>
          <t>Marketing &amp; Growth Expenses</t>
        </is>
      </c>
      <c r="C602" s="3" t="n"/>
      <c r="D602" s="3" t="inlineStr">
        <is>
          <t>RAMON PAIVA FONTINELE DA SILVA - Transferência | Pix</t>
        </is>
      </c>
      <c r="E602" s="3" t="n">
        <v>-102.5</v>
      </c>
      <c r="F602" s="3" t="inlineStr">
        <is>
          <t>Débito</t>
        </is>
      </c>
      <c r="G602" s="3" t="inlineStr">
        <is>
          <t>Marketing e Publicidade - Sem NF</t>
        </is>
      </c>
      <c r="H602" s="3" t="inlineStr">
        <is>
          <t>2025-10</t>
        </is>
      </c>
      <c r="I602" s="3" t="n"/>
      <c r="J602" s="3" t="n"/>
    </row>
    <row r="603">
      <c r="A603" s="6" t="n">
        <v>45940</v>
      </c>
      <c r="B603" s="3" t="inlineStr">
        <is>
          <t>Marketing &amp; Growth Expenses</t>
        </is>
      </c>
      <c r="C603" s="3" t="n"/>
      <c r="D603" s="3" t="inlineStr">
        <is>
          <t>Nataniele Cristian Nonato dos Anjos - Transferência | Pix</t>
        </is>
      </c>
      <c r="E603" s="3" t="n">
        <v>-384</v>
      </c>
      <c r="F603" s="3" t="inlineStr">
        <is>
          <t>Débito</t>
        </is>
      </c>
      <c r="G603" s="3" t="inlineStr">
        <is>
          <t>Marketing e Publicidade - Sem NF</t>
        </is>
      </c>
      <c r="H603" s="3" t="inlineStr">
        <is>
          <t>2025-10</t>
        </is>
      </c>
      <c r="I603" s="3" t="n"/>
      <c r="J603" s="3" t="n"/>
    </row>
    <row r="604">
      <c r="A604" s="6" t="n">
        <v>45940</v>
      </c>
      <c r="B604" s="3" t="inlineStr">
        <is>
          <t>Marketing &amp; Growth Expenses</t>
        </is>
      </c>
      <c r="C604" s="3" t="n"/>
      <c r="D604" s="3" t="inlineStr">
        <is>
          <t>RAPHAEL TAVARES SOUZA DOS SANTOS - Transferência | Pix</t>
        </is>
      </c>
      <c r="E604" s="3" t="n">
        <v>-132.75</v>
      </c>
      <c r="F604" s="3" t="inlineStr">
        <is>
          <t>Débito</t>
        </is>
      </c>
      <c r="G604" s="3" t="inlineStr">
        <is>
          <t>Marketing e Publicidade - Sem NF</t>
        </is>
      </c>
      <c r="H604" s="3" t="inlineStr">
        <is>
          <t>2025-10</t>
        </is>
      </c>
      <c r="I604" s="3" t="n"/>
      <c r="J604" s="3" t="n"/>
    </row>
    <row r="605">
      <c r="A605" s="6" t="n">
        <v>45940</v>
      </c>
      <c r="B605" s="3" t="inlineStr">
        <is>
          <t>Marketing &amp; Growth Expenses</t>
        </is>
      </c>
      <c r="C605" s="3" t="n"/>
      <c r="D605" s="3" t="inlineStr">
        <is>
          <t>PABLO COELHO DO NASCIMENTO - Transferência | Pix</t>
        </is>
      </c>
      <c r="E605" s="3" t="n">
        <v>-13.75</v>
      </c>
      <c r="F605" s="3" t="inlineStr">
        <is>
          <t>Débito</t>
        </is>
      </c>
      <c r="G605" s="3" t="inlineStr">
        <is>
          <t>Marketing e Publicidade - Sem NF</t>
        </is>
      </c>
      <c r="H605" s="3" t="inlineStr">
        <is>
          <t>2025-10</t>
        </is>
      </c>
      <c r="I605" s="3" t="n"/>
      <c r="J605" s="3" t="n"/>
    </row>
    <row r="606">
      <c r="A606" s="6" t="n">
        <v>45940</v>
      </c>
      <c r="B606" s="3" t="inlineStr">
        <is>
          <t>Marketing &amp; Growth Expenses</t>
        </is>
      </c>
      <c r="C606" s="3" t="n"/>
      <c r="D606" s="3" t="inlineStr">
        <is>
          <t>Natalia Pereira Ramos - Transferência | Pix</t>
        </is>
      </c>
      <c r="E606" s="3" t="n">
        <v>-38.5</v>
      </c>
      <c r="F606" s="3" t="inlineStr">
        <is>
          <t>Débito</t>
        </is>
      </c>
      <c r="G606" s="3" t="inlineStr">
        <is>
          <t>Marketing e Publicidade - Sem NF</t>
        </is>
      </c>
      <c r="H606" s="3" t="inlineStr">
        <is>
          <t>2025-10</t>
        </is>
      </c>
      <c r="I606" s="3" t="n"/>
      <c r="J606" s="3" t="n"/>
    </row>
    <row r="607">
      <c r="A607" s="6" t="n">
        <v>45940</v>
      </c>
      <c r="B607" s="3" t="inlineStr">
        <is>
          <t>Marketing &amp; Growth Expenses</t>
        </is>
      </c>
      <c r="C607" s="3" t="n"/>
      <c r="D607" s="3" t="inlineStr">
        <is>
          <t>PEDRO HENRIQUE BOARATI DE OLIVEIRA - Transferência | Pix</t>
        </is>
      </c>
      <c r="E607" s="3" t="n">
        <v>-353.75</v>
      </c>
      <c r="F607" s="3" t="inlineStr">
        <is>
          <t>Débito</t>
        </is>
      </c>
      <c r="G607" s="3" t="inlineStr">
        <is>
          <t>Marketing e Publicidade - Sem NF</t>
        </is>
      </c>
      <c r="H607" s="3" t="inlineStr">
        <is>
          <t>2025-10</t>
        </is>
      </c>
      <c r="I607" s="3" t="n"/>
      <c r="J607" s="3" t="n"/>
    </row>
    <row r="608">
      <c r="A608" s="6" t="n">
        <v>45940</v>
      </c>
      <c r="B608" s="3" t="inlineStr">
        <is>
          <t>Marketing &amp; Growth Expenses</t>
        </is>
      </c>
      <c r="C608" s="3" t="n"/>
      <c r="D608" s="3" t="inlineStr">
        <is>
          <t>PEDRO REBOUCAS DOS SANTOS - Transferência | Pix</t>
        </is>
      </c>
      <c r="E608" s="3" t="n">
        <v>-392</v>
      </c>
      <c r="F608" s="3" t="inlineStr">
        <is>
          <t>Débito</t>
        </is>
      </c>
      <c r="G608" s="3" t="inlineStr">
        <is>
          <t>Marketing e Publicidade - Sem NF</t>
        </is>
      </c>
      <c r="H608" s="3" t="inlineStr">
        <is>
          <t>2025-10</t>
        </is>
      </c>
      <c r="I608" s="3" t="n"/>
      <c r="J608" s="3" t="n"/>
    </row>
    <row r="609">
      <c r="A609" s="6" t="n">
        <v>45940</v>
      </c>
      <c r="B609" s="3" t="inlineStr">
        <is>
          <t>Marketing &amp; Growth Expenses</t>
        </is>
      </c>
      <c r="C609" s="3" t="n"/>
      <c r="D609" s="3" t="inlineStr">
        <is>
          <t>SANDRO DOUGLAS CARDOSO JUNIOR - Transferência | Pix</t>
        </is>
      </c>
      <c r="E609" s="3" t="n">
        <v>-152</v>
      </c>
      <c r="F609" s="3" t="inlineStr">
        <is>
          <t>Débito</t>
        </is>
      </c>
      <c r="G609" s="3" t="inlineStr">
        <is>
          <t>Marketing e Publicidade - Sem NF</t>
        </is>
      </c>
      <c r="H609" s="3" t="inlineStr">
        <is>
          <t>2025-10</t>
        </is>
      </c>
      <c r="I609" s="3" t="n"/>
      <c r="J609" s="3" t="n"/>
    </row>
    <row r="610">
      <c r="A610" s="6" t="n">
        <v>45940</v>
      </c>
      <c r="B610" s="3" t="inlineStr">
        <is>
          <t>Marketing &amp; Growth Expenses</t>
        </is>
      </c>
      <c r="C610" s="3" t="n"/>
      <c r="D610" s="3" t="inlineStr">
        <is>
          <t>Rafael Pereira Ramos - Transferência | Pix</t>
        </is>
      </c>
      <c r="E610" s="3" t="n">
        <v>-141</v>
      </c>
      <c r="F610" s="3" t="inlineStr">
        <is>
          <t>Débito</t>
        </is>
      </c>
      <c r="G610" s="3" t="inlineStr">
        <is>
          <t>Marketing e Publicidade - Sem NF</t>
        </is>
      </c>
      <c r="H610" s="3" t="inlineStr">
        <is>
          <t>2025-10</t>
        </is>
      </c>
      <c r="I610" s="3" t="n"/>
      <c r="J610" s="3" t="n"/>
    </row>
    <row r="611">
      <c r="A611" s="6" t="n">
        <v>45940</v>
      </c>
      <c r="B611" s="3" t="inlineStr">
        <is>
          <t>Marketing &amp; Growth Expenses</t>
        </is>
      </c>
      <c r="C611" s="3" t="n"/>
      <c r="D611" s="3" t="inlineStr">
        <is>
          <t>RAFAEL HIDEKI CARDOSO ISHIDA - Transferência | Pix</t>
        </is>
      </c>
      <c r="E611" s="3" t="n">
        <v>-5.5</v>
      </c>
      <c r="F611" s="3" t="inlineStr">
        <is>
          <t>Débito</t>
        </is>
      </c>
      <c r="G611" s="3" t="inlineStr">
        <is>
          <t>Marketing e Publicidade - Sem NF</t>
        </is>
      </c>
      <c r="H611" s="3" t="inlineStr">
        <is>
          <t>2025-10</t>
        </is>
      </c>
      <c r="I611" s="3" t="n"/>
      <c r="J611" s="3" t="n"/>
    </row>
    <row r="612">
      <c r="A612" s="6" t="n">
        <v>45940</v>
      </c>
      <c r="B612" s="3" t="inlineStr">
        <is>
          <t>Marketing &amp; Growth Expenses</t>
        </is>
      </c>
      <c r="C612" s="3" t="n"/>
      <c r="D612" s="3" t="inlineStr">
        <is>
          <t>SAMUEL FEITOSA ARAUJO - Transferência | Pix</t>
        </is>
      </c>
      <c r="E612" s="3" t="n">
        <v>-38.5</v>
      </c>
      <c r="F612" s="3" t="inlineStr">
        <is>
          <t>Débito</t>
        </is>
      </c>
      <c r="G612" s="3" t="inlineStr">
        <is>
          <t>Marketing e Publicidade - Sem NF</t>
        </is>
      </c>
      <c r="H612" s="3" t="inlineStr">
        <is>
          <t>2025-10</t>
        </is>
      </c>
      <c r="I612" s="3" t="n"/>
      <c r="J612" s="3" t="n"/>
    </row>
    <row r="613">
      <c r="A613" s="6" t="n">
        <v>45940</v>
      </c>
      <c r="B613" s="3" t="inlineStr">
        <is>
          <t>Marketing &amp; Growth Expenses</t>
        </is>
      </c>
      <c r="C613" s="3" t="n"/>
      <c r="D613" s="3" t="inlineStr">
        <is>
          <t>Sofia Salete Espindola - Transferência | Pix</t>
        </is>
      </c>
      <c r="E613" s="3" t="n">
        <v>-2.75</v>
      </c>
      <c r="F613" s="3" t="inlineStr">
        <is>
          <t>Débito</t>
        </is>
      </c>
      <c r="G613" s="3" t="inlineStr">
        <is>
          <t>Marketing e Publicidade - Sem NF</t>
        </is>
      </c>
      <c r="H613" s="3" t="inlineStr">
        <is>
          <t>2025-10</t>
        </is>
      </c>
      <c r="I613" s="3" t="n"/>
      <c r="J613" s="3" t="n"/>
    </row>
    <row r="614">
      <c r="A614" s="6" t="n">
        <v>45940</v>
      </c>
      <c r="B614" s="3" t="inlineStr">
        <is>
          <t>Marketing &amp; Growth Expenses</t>
        </is>
      </c>
      <c r="C614" s="3" t="n"/>
      <c r="D614" s="3" t="inlineStr">
        <is>
          <t>Patrick Domingos Lopes da Silva - Transferência | Pix</t>
        </is>
      </c>
      <c r="E614" s="3" t="n">
        <v>-44</v>
      </c>
      <c r="F614" s="3" t="inlineStr">
        <is>
          <t>Débito</t>
        </is>
      </c>
      <c r="G614" s="3" t="inlineStr">
        <is>
          <t>Marketing e Publicidade - Sem NF</t>
        </is>
      </c>
      <c r="H614" s="3" t="inlineStr">
        <is>
          <t>2025-10</t>
        </is>
      </c>
      <c r="I614" s="3" t="n"/>
      <c r="J614" s="3" t="n"/>
    </row>
    <row r="615">
      <c r="A615" s="6" t="n">
        <v>45940</v>
      </c>
      <c r="B615" s="3" t="inlineStr">
        <is>
          <t>Marketing &amp; Growth Expenses</t>
        </is>
      </c>
      <c r="C615" s="3" t="n"/>
      <c r="D615" s="3" t="inlineStr">
        <is>
          <t>RAFAEL MINGRONE MORALES - Transferência | Pix</t>
        </is>
      </c>
      <c r="E615" s="3" t="n">
        <v>-141</v>
      </c>
      <c r="F615" s="3" t="inlineStr">
        <is>
          <t>Débito</t>
        </is>
      </c>
      <c r="G615" s="3" t="inlineStr">
        <is>
          <t>Marketing e Publicidade - Sem NF</t>
        </is>
      </c>
      <c r="H615" s="3" t="inlineStr">
        <is>
          <t>2025-10</t>
        </is>
      </c>
      <c r="I615" s="3" t="n"/>
      <c r="J615" s="3" t="n"/>
    </row>
    <row r="616">
      <c r="A616" s="6" t="n">
        <v>45940</v>
      </c>
      <c r="B616" s="3" t="inlineStr">
        <is>
          <t>Marketing &amp; Growth Expenses</t>
        </is>
      </c>
      <c r="C616" s="3" t="n"/>
      <c r="D616" s="3" t="inlineStr">
        <is>
          <t>Samira Cristina Leite Ribeiro - Transferência | Pix</t>
        </is>
      </c>
      <c r="E616" s="3" t="n">
        <v>-90.75</v>
      </c>
      <c r="F616" s="3" t="inlineStr">
        <is>
          <t>Débito</t>
        </is>
      </c>
      <c r="G616" s="3" t="inlineStr">
        <is>
          <t>Marketing e Publicidade - Sem NF</t>
        </is>
      </c>
      <c r="H616" s="3" t="inlineStr">
        <is>
          <t>2025-10</t>
        </is>
      </c>
      <c r="I616" s="3" t="n"/>
      <c r="J616" s="3" t="n"/>
    </row>
    <row r="617">
      <c r="A617" s="6" t="n">
        <v>45940</v>
      </c>
      <c r="B617" s="3" t="inlineStr">
        <is>
          <t>Marketing &amp; Growth Expenses</t>
        </is>
      </c>
      <c r="C617" s="3" t="n"/>
      <c r="D617" s="3" t="inlineStr">
        <is>
          <t>TAMIRES DA SILVA TOMAZ - Transferência | Pix</t>
        </is>
      </c>
      <c r="E617" s="3" t="n">
        <v>-46.75</v>
      </c>
      <c r="F617" s="3" t="inlineStr">
        <is>
          <t>Débito</t>
        </is>
      </c>
      <c r="G617" s="3" t="inlineStr">
        <is>
          <t>Marketing e Publicidade - Sem NF</t>
        </is>
      </c>
      <c r="H617" s="3" t="inlineStr">
        <is>
          <t>2025-10</t>
        </is>
      </c>
      <c r="I617" s="3" t="n"/>
      <c r="J617" s="3" t="n"/>
    </row>
    <row r="618">
      <c r="A618" s="6" t="n">
        <v>45940</v>
      </c>
      <c r="B618" s="3" t="inlineStr">
        <is>
          <t>Marketing &amp; Growth Expenses</t>
        </is>
      </c>
      <c r="C618" s="3" t="n"/>
      <c r="D618" s="3" t="inlineStr">
        <is>
          <t>THAIANE ROCHA DE DEUS - Transferência | Pix</t>
        </is>
      </c>
      <c r="E618" s="3" t="n">
        <v>-2.75</v>
      </c>
      <c r="F618" s="3" t="inlineStr">
        <is>
          <t>Débito</t>
        </is>
      </c>
      <c r="G618" s="3" t="inlineStr">
        <is>
          <t>Marketing e Publicidade - Sem NF</t>
        </is>
      </c>
      <c r="H618" s="3" t="inlineStr">
        <is>
          <t>2025-10</t>
        </is>
      </c>
      <c r="I618" s="3" t="n"/>
      <c r="J618" s="3" t="n"/>
    </row>
    <row r="619">
      <c r="A619" s="6" t="n">
        <v>45940</v>
      </c>
      <c r="B619" s="3" t="inlineStr">
        <is>
          <t>Marketing &amp; Growth Expenses</t>
        </is>
      </c>
      <c r="C619" s="3" t="n"/>
      <c r="D619" s="3" t="inlineStr">
        <is>
          <t>Sophia Puttomatti Pazotto - Transferência | Pix</t>
        </is>
      </c>
      <c r="E619" s="3" t="n">
        <v>-52.25</v>
      </c>
      <c r="F619" s="3" t="inlineStr">
        <is>
          <t>Débito</t>
        </is>
      </c>
      <c r="G619" s="3" t="inlineStr">
        <is>
          <t>Marketing e Publicidade - Sem NF</t>
        </is>
      </c>
      <c r="H619" s="3" t="inlineStr">
        <is>
          <t>2025-10</t>
        </is>
      </c>
      <c r="I619" s="3" t="n"/>
      <c r="J619" s="3" t="n"/>
    </row>
    <row r="620">
      <c r="A620" s="6" t="n">
        <v>45940</v>
      </c>
      <c r="B620" s="3" t="inlineStr">
        <is>
          <t>Marketing &amp; Growth Expenses</t>
        </is>
      </c>
      <c r="C620" s="3" t="n"/>
      <c r="D620" s="3" t="inlineStr">
        <is>
          <t>THALITA OLIVEIRA DO PRADO - Transferência | Pix</t>
        </is>
      </c>
      <c r="E620" s="3" t="n">
        <v>-2.75</v>
      </c>
      <c r="F620" s="3" t="inlineStr">
        <is>
          <t>Débito</t>
        </is>
      </c>
      <c r="G620" s="3" t="inlineStr">
        <is>
          <t>Marketing e Publicidade - Sem NF</t>
        </is>
      </c>
      <c r="H620" s="3" t="inlineStr">
        <is>
          <t>2025-10</t>
        </is>
      </c>
      <c r="I620" s="3" t="n"/>
      <c r="J620" s="3" t="n"/>
    </row>
    <row r="621">
      <c r="A621" s="6" t="n">
        <v>45940</v>
      </c>
      <c r="B621" s="3" t="inlineStr">
        <is>
          <t>Marketing &amp; Growth Expenses</t>
        </is>
      </c>
      <c r="C621" s="3" t="n"/>
      <c r="D621" s="3" t="inlineStr">
        <is>
          <t>THIAGO TORETO DAMACENO - Transferência | Pix</t>
        </is>
      </c>
      <c r="E621" s="3" t="n">
        <v>-2.75</v>
      </c>
      <c r="F621" s="3" t="inlineStr">
        <is>
          <t>Débito</t>
        </is>
      </c>
      <c r="G621" s="3" t="inlineStr">
        <is>
          <t>Marketing e Publicidade - Sem NF</t>
        </is>
      </c>
      <c r="H621" s="3" t="inlineStr">
        <is>
          <t>2025-10</t>
        </is>
      </c>
      <c r="I621" s="3" t="n"/>
      <c r="J621" s="3" t="n"/>
    </row>
    <row r="622">
      <c r="A622" s="6" t="n">
        <v>45940</v>
      </c>
      <c r="B622" s="3" t="inlineStr">
        <is>
          <t>Marketing &amp; Growth Expenses</t>
        </is>
      </c>
      <c r="C622" s="3" t="n"/>
      <c r="D622" s="3" t="inlineStr">
        <is>
          <t>Tallita Rabelo Amaral - Transferência | Pix</t>
        </is>
      </c>
      <c r="E622" s="3" t="n">
        <v>-2.75</v>
      </c>
      <c r="F622" s="3" t="inlineStr">
        <is>
          <t>Débito</t>
        </is>
      </c>
      <c r="G622" s="3" t="inlineStr">
        <is>
          <t>Marketing e Publicidade - Sem NF</t>
        </is>
      </c>
      <c r="H622" s="3" t="inlineStr">
        <is>
          <t>2025-10</t>
        </is>
      </c>
      <c r="I622" s="3" t="n"/>
      <c r="J622" s="3" t="n"/>
    </row>
    <row r="623">
      <c r="A623" s="6" t="n">
        <v>45940</v>
      </c>
      <c r="B623" s="3" t="inlineStr">
        <is>
          <t>Marketing &amp; Growth Expenses</t>
        </is>
      </c>
      <c r="C623" s="3" t="n"/>
      <c r="D623" s="3" t="inlineStr">
        <is>
          <t>Thalita Vieira Nunes - Transferência | Pix</t>
        </is>
      </c>
      <c r="E623" s="3" t="n">
        <v>-71.5</v>
      </c>
      <c r="F623" s="3" t="inlineStr">
        <is>
          <t>Débito</t>
        </is>
      </c>
      <c r="G623" s="3" t="inlineStr">
        <is>
          <t>Marketing e Publicidade - Sem NF</t>
        </is>
      </c>
      <c r="H623" s="3" t="inlineStr">
        <is>
          <t>2025-10</t>
        </is>
      </c>
      <c r="I623" s="3" t="n"/>
      <c r="J623" s="3" t="n"/>
    </row>
    <row r="624">
      <c r="A624" s="6" t="n">
        <v>45940</v>
      </c>
      <c r="B624" s="3" t="inlineStr">
        <is>
          <t>Marketing &amp; Growth Expenses</t>
        </is>
      </c>
      <c r="C624" s="3" t="n"/>
      <c r="D624" s="3" t="inlineStr">
        <is>
          <t>Thayna Hardy Silva - Transferência | Pix</t>
        </is>
      </c>
      <c r="E624" s="3" t="n">
        <v>-2.75</v>
      </c>
      <c r="F624" s="3" t="inlineStr">
        <is>
          <t>Débito</t>
        </is>
      </c>
      <c r="G624" s="3" t="inlineStr">
        <is>
          <t>Marketing e Publicidade - Sem NF</t>
        </is>
      </c>
      <c r="H624" s="3" t="inlineStr">
        <is>
          <t>2025-10</t>
        </is>
      </c>
      <c r="I624" s="3" t="n"/>
      <c r="J624" s="3" t="n"/>
    </row>
    <row r="625">
      <c r="A625" s="6" t="n">
        <v>45940</v>
      </c>
      <c r="B625" s="3" t="inlineStr">
        <is>
          <t>Marketing &amp; Growth Expenses</t>
        </is>
      </c>
      <c r="C625" s="3" t="n"/>
      <c r="D625" s="3" t="inlineStr">
        <is>
          <t>Thiago Bastos Balseiro - Transferência | Pix</t>
        </is>
      </c>
      <c r="E625" s="3" t="n">
        <v>-163</v>
      </c>
      <c r="F625" s="3" t="inlineStr">
        <is>
          <t>Débito</t>
        </is>
      </c>
      <c r="G625" s="3" t="inlineStr">
        <is>
          <t>Marketing e Publicidade - Sem NF</t>
        </is>
      </c>
      <c r="H625" s="3" t="inlineStr">
        <is>
          <t>2025-10</t>
        </is>
      </c>
      <c r="I625" s="3" t="n"/>
      <c r="J625" s="3" t="n"/>
    </row>
    <row r="626">
      <c r="A626" s="6" t="n">
        <v>45940</v>
      </c>
      <c r="B626" s="3" t="inlineStr">
        <is>
          <t>Marketing &amp; Growth Expenses</t>
        </is>
      </c>
      <c r="C626" s="3" t="n"/>
      <c r="D626" s="3" t="inlineStr">
        <is>
          <t>VINICIO MEIRA KEMERICH - Transferência | Pix</t>
        </is>
      </c>
      <c r="E626" s="3" t="n">
        <v>-2.75</v>
      </c>
      <c r="F626" s="3" t="inlineStr">
        <is>
          <t>Débito</t>
        </is>
      </c>
      <c r="G626" s="3" t="inlineStr">
        <is>
          <t>Marketing e Publicidade - Sem NF</t>
        </is>
      </c>
      <c r="H626" s="3" t="inlineStr">
        <is>
          <t>2025-10</t>
        </is>
      </c>
      <c r="I626" s="3" t="n"/>
      <c r="J626" s="3" t="n"/>
    </row>
    <row r="627">
      <c r="A627" s="6" t="n">
        <v>45940</v>
      </c>
      <c r="B627" s="3" t="inlineStr">
        <is>
          <t>Marketing &amp; Growth Expenses</t>
        </is>
      </c>
      <c r="C627" s="3" t="n"/>
      <c r="D627" s="3" t="inlineStr">
        <is>
          <t>WILLIAM OLIVEIRA DE PAULA FILHO - Transferência | Pix</t>
        </is>
      </c>
      <c r="E627" s="3" t="n">
        <v>-356.5</v>
      </c>
      <c r="F627" s="3" t="inlineStr">
        <is>
          <t>Débito</t>
        </is>
      </c>
      <c r="G627" s="3" t="inlineStr">
        <is>
          <t>Marketing e Publicidade - Sem NF</t>
        </is>
      </c>
      <c r="H627" s="3" t="inlineStr">
        <is>
          <t>2025-10</t>
        </is>
      </c>
      <c r="I627" s="3" t="n"/>
      <c r="J627" s="3" t="n"/>
    </row>
    <row r="628">
      <c r="A628" s="6" t="n">
        <v>45940</v>
      </c>
      <c r="B628" s="3" t="inlineStr">
        <is>
          <t>Marketing &amp; Growth Expenses</t>
        </is>
      </c>
      <c r="C628" s="3" t="n"/>
      <c r="D628" s="3" t="inlineStr">
        <is>
          <t>VITOR RIBEIRO DE SOUSA - Transferência | Pix</t>
        </is>
      </c>
      <c r="E628" s="3" t="n">
        <v>-2.75</v>
      </c>
      <c r="F628" s="3" t="inlineStr">
        <is>
          <t>Débito</t>
        </is>
      </c>
      <c r="G628" s="3" t="inlineStr">
        <is>
          <t>Marketing e Publicidade - Sem NF</t>
        </is>
      </c>
      <c r="H628" s="3" t="inlineStr">
        <is>
          <t>2025-10</t>
        </is>
      </c>
      <c r="I628" s="3" t="n"/>
      <c r="J628" s="3" t="n"/>
    </row>
    <row r="629">
      <c r="A629" s="6" t="n">
        <v>45940</v>
      </c>
      <c r="B629" s="3" t="inlineStr">
        <is>
          <t>Marketing &amp; Growth Expenses</t>
        </is>
      </c>
      <c r="C629" s="3" t="n"/>
      <c r="D629" s="3" t="inlineStr">
        <is>
          <t>VICTOR ANDRE DE PAULA OLIVEIRA - Transferência | Pix</t>
        </is>
      </c>
      <c r="E629" s="3" t="n">
        <v>-107.25</v>
      </c>
      <c r="F629" s="3" t="inlineStr">
        <is>
          <t>Débito</t>
        </is>
      </c>
      <c r="G629" s="3" t="inlineStr">
        <is>
          <t>Marketing e Publicidade - Sem NF</t>
        </is>
      </c>
      <c r="H629" s="3" t="inlineStr">
        <is>
          <t>2025-10</t>
        </is>
      </c>
      <c r="I629" s="3" t="n"/>
      <c r="J629" s="3" t="n"/>
    </row>
    <row r="630">
      <c r="A630" s="6" t="n">
        <v>45940</v>
      </c>
      <c r="B630" s="3" t="inlineStr">
        <is>
          <t>Marketing &amp; Growth Expenses</t>
        </is>
      </c>
      <c r="C630" s="3" t="n"/>
      <c r="D630" s="3" t="inlineStr">
        <is>
          <t>Wanderson de Alcantara Silva - Transferência | Pix</t>
        </is>
      </c>
      <c r="E630" s="3" t="n">
        <v>-41.25</v>
      </c>
      <c r="F630" s="3" t="inlineStr">
        <is>
          <t>Débito</t>
        </is>
      </c>
      <c r="G630" s="3" t="inlineStr">
        <is>
          <t>Marketing e Publicidade - Sem NF</t>
        </is>
      </c>
      <c r="H630" s="3" t="inlineStr">
        <is>
          <t>2025-10</t>
        </is>
      </c>
      <c r="I630" s="3" t="n"/>
      <c r="J630" s="3" t="n"/>
    </row>
    <row r="631">
      <c r="A631" s="6" t="n">
        <v>45940</v>
      </c>
      <c r="B631" s="3" t="inlineStr">
        <is>
          <t>Marketing &amp; Growth Expenses</t>
        </is>
      </c>
      <c r="C631" s="3" t="n"/>
      <c r="D631" s="3" t="inlineStr">
        <is>
          <t>VITORIA HELENA MONTAGNER VAZ - Transferência | Pix</t>
        </is>
      </c>
      <c r="E631" s="3" t="n">
        <v>-35.75</v>
      </c>
      <c r="F631" s="3" t="inlineStr">
        <is>
          <t>Débito</t>
        </is>
      </c>
      <c r="G631" s="3" t="inlineStr">
        <is>
          <t>Marketing e Publicidade - Sem NF</t>
        </is>
      </c>
      <c r="H631" s="3" t="inlineStr">
        <is>
          <t>2025-10</t>
        </is>
      </c>
      <c r="I631" s="3" t="n"/>
      <c r="J631" s="3" t="n"/>
    </row>
    <row r="632">
      <c r="A632" s="6" t="n">
        <v>45940</v>
      </c>
      <c r="B632" s="3" t="inlineStr">
        <is>
          <t>Marketing &amp; Growth Expenses</t>
        </is>
      </c>
      <c r="C632" s="3" t="n"/>
      <c r="D632" s="3" t="inlineStr">
        <is>
          <t>Vanis Saint Victor - Transferência | Pix</t>
        </is>
      </c>
      <c r="E632" s="3" t="n">
        <v>-83.25</v>
      </c>
      <c r="F632" s="3" t="inlineStr">
        <is>
          <t>Débito</t>
        </is>
      </c>
      <c r="G632" s="3" t="inlineStr">
        <is>
          <t>Marketing e Publicidade - Sem NF</t>
        </is>
      </c>
      <c r="H632" s="3" t="inlineStr">
        <is>
          <t>2025-10</t>
        </is>
      </c>
      <c r="I632" s="3" t="n"/>
      <c r="J632" s="3" t="n"/>
    </row>
    <row r="633">
      <c r="A633" s="6" t="n">
        <v>45940</v>
      </c>
      <c r="B633" s="3" t="inlineStr">
        <is>
          <t>Marketing &amp; Growth Expenses</t>
        </is>
      </c>
      <c r="C633" s="3" t="n"/>
      <c r="D633" s="3" t="inlineStr">
        <is>
          <t>VICTOR FRANCISCO MARQUES ALVES - Transferência | Pix</t>
        </is>
      </c>
      <c r="E633" s="3" t="n">
        <v>-163</v>
      </c>
      <c r="F633" s="3" t="inlineStr">
        <is>
          <t>Débito</t>
        </is>
      </c>
      <c r="G633" s="3" t="inlineStr">
        <is>
          <t>Marketing e Publicidade - Sem NF</t>
        </is>
      </c>
      <c r="H633" s="3" t="inlineStr">
        <is>
          <t>2025-10</t>
        </is>
      </c>
      <c r="I633" s="3" t="n"/>
      <c r="J633" s="3" t="n"/>
    </row>
    <row r="634">
      <c r="A634" s="6" t="n">
        <v>45940</v>
      </c>
      <c r="B634" s="3" t="inlineStr">
        <is>
          <t>Marketing &amp; Growth Expenses</t>
        </is>
      </c>
      <c r="C634" s="3" t="n"/>
      <c r="D634" s="3" t="inlineStr">
        <is>
          <t>Weslley Vinicius Mazzo - Transferência | Pix</t>
        </is>
      </c>
      <c r="E634" s="3" t="n">
        <v>-2.75</v>
      </c>
      <c r="F634" s="3" t="inlineStr">
        <is>
          <t>Débito</t>
        </is>
      </c>
      <c r="G634" s="3" t="inlineStr">
        <is>
          <t>Marketing e Publicidade - Sem NF</t>
        </is>
      </c>
      <c r="H634" s="3" t="inlineStr">
        <is>
          <t>2025-10</t>
        </is>
      </c>
      <c r="I634" s="3" t="n"/>
      <c r="J634" s="3" t="n"/>
    </row>
    <row r="635">
      <c r="A635" s="6" t="n">
        <v>45940</v>
      </c>
      <c r="B635" s="3" t="inlineStr">
        <is>
          <t>Marketing &amp; Growth Expenses</t>
        </is>
      </c>
      <c r="C635" s="3" t="n"/>
      <c r="D635" s="3" t="inlineStr">
        <is>
          <t>VITORIA ALESSANDRA DA SILVA LONGHI - Transferência | Pix</t>
        </is>
      </c>
      <c r="E635" s="3" t="n">
        <v>-5.5</v>
      </c>
      <c r="F635" s="3" t="inlineStr">
        <is>
          <t>Débito</t>
        </is>
      </c>
      <c r="G635" s="3" t="inlineStr">
        <is>
          <t>Marketing e Publicidade - Sem NF</t>
        </is>
      </c>
      <c r="H635" s="3" t="inlineStr">
        <is>
          <t>2025-10</t>
        </is>
      </c>
      <c r="I635" s="3" t="n"/>
      <c r="J635" s="3" t="n"/>
    </row>
    <row r="636">
      <c r="A636" s="6" t="n">
        <v>45940</v>
      </c>
      <c r="B636" s="3" t="inlineStr">
        <is>
          <t>Marketing &amp; Growth Expenses</t>
        </is>
      </c>
      <c r="C636" s="3" t="n"/>
      <c r="D636" s="3" t="inlineStr">
        <is>
          <t>Willian Tomaz de Andrade - Transferência | Pix</t>
        </is>
      </c>
      <c r="E636" s="3" t="n">
        <v>-198.75</v>
      </c>
      <c r="F636" s="3" t="inlineStr">
        <is>
          <t>Débito</t>
        </is>
      </c>
      <c r="G636" s="3" t="inlineStr">
        <is>
          <t>Marketing e Publicidade - Sem NF</t>
        </is>
      </c>
      <c r="H636" s="3" t="inlineStr">
        <is>
          <t>2025-10</t>
        </is>
      </c>
      <c r="I636" s="3" t="n"/>
      <c r="J636" s="3" t="n"/>
    </row>
    <row r="637">
      <c r="A637" s="6" t="n">
        <v>45940</v>
      </c>
      <c r="B637" s="3" t="inlineStr">
        <is>
          <t>Marketing &amp; Growth Expenses</t>
        </is>
      </c>
      <c r="C637" s="3" t="n"/>
      <c r="D637" s="3" t="inlineStr">
        <is>
          <t>Victor Gabriel Candido Ribeiro - Transferência | Pix</t>
        </is>
      </c>
      <c r="E637" s="3" t="n">
        <v>-5.5</v>
      </c>
      <c r="F637" s="3" t="inlineStr">
        <is>
          <t>Débito</t>
        </is>
      </c>
      <c r="G637" s="3" t="inlineStr">
        <is>
          <t>Marketing e Publicidade - Sem NF</t>
        </is>
      </c>
      <c r="H637" s="3" t="inlineStr">
        <is>
          <t>2025-10</t>
        </is>
      </c>
      <c r="I637" s="3" t="n"/>
      <c r="J637" s="3" t="n"/>
    </row>
    <row r="638">
      <c r="A638" s="6" t="n">
        <v>45940</v>
      </c>
      <c r="B638" s="3" t="inlineStr">
        <is>
          <t>Marketing &amp; Growth Expenses</t>
        </is>
      </c>
      <c r="C638" s="3" t="n"/>
      <c r="D638" s="3" t="inlineStr">
        <is>
          <t>Vivian Fiore Felismino - Transferência | Pix</t>
        </is>
      </c>
      <c r="E638" s="3" t="n">
        <v>-27.5</v>
      </c>
      <c r="F638" s="3" t="inlineStr">
        <is>
          <t>Débito</t>
        </is>
      </c>
      <c r="G638" s="3" t="inlineStr">
        <is>
          <t>Marketing e Publicidade - Sem NF</t>
        </is>
      </c>
      <c r="H638" s="3" t="inlineStr">
        <is>
          <t>2025-10</t>
        </is>
      </c>
      <c r="I638" s="3" t="n"/>
      <c r="J638" s="3" t="n"/>
    </row>
    <row r="639">
      <c r="A639" s="6" t="n">
        <v>45940</v>
      </c>
      <c r="B639" s="3" t="inlineStr">
        <is>
          <t>Marketing &amp; Growth Expenses</t>
        </is>
      </c>
      <c r="C639" s="3" t="n"/>
      <c r="D639" s="3" t="inlineStr">
        <is>
          <t>YURI PINTO CAMPOS BELO - Transferência | Pix</t>
        </is>
      </c>
      <c r="E639" s="3" t="n">
        <v>-44</v>
      </c>
      <c r="F639" s="3" t="inlineStr">
        <is>
          <t>Débito</t>
        </is>
      </c>
      <c r="G639" s="3" t="inlineStr">
        <is>
          <t>Marketing e Publicidade - Sem NF</t>
        </is>
      </c>
      <c r="H639" s="3" t="inlineStr">
        <is>
          <t>2025-10</t>
        </is>
      </c>
      <c r="I639" s="3" t="n"/>
      <c r="J639" s="3" t="n"/>
    </row>
    <row r="640">
      <c r="A640" s="6" t="n">
        <v>45940</v>
      </c>
      <c r="B640" s="3" t="inlineStr">
        <is>
          <t>Marketing &amp; Growth Expenses</t>
        </is>
      </c>
      <c r="C640" s="3" t="n"/>
      <c r="D640" s="3" t="inlineStr">
        <is>
          <t>Yara Debossam Queiroz - Transferência | Pix</t>
        </is>
      </c>
      <c r="E640" s="3" t="n">
        <v>-53</v>
      </c>
      <c r="F640" s="3" t="inlineStr">
        <is>
          <t>Débito</t>
        </is>
      </c>
      <c r="G640" s="3" t="inlineStr">
        <is>
          <t>Marketing e Publicidade - Sem NF</t>
        </is>
      </c>
      <c r="H640" s="3" t="inlineStr">
        <is>
          <t>2025-10</t>
        </is>
      </c>
      <c r="I640" s="3" t="n"/>
      <c r="J640" s="3" t="n"/>
    </row>
    <row r="641">
      <c r="A641" s="6" t="n">
        <v>45940</v>
      </c>
      <c r="B641" s="3" t="inlineStr">
        <is>
          <t>Marketing &amp; Growth Expenses</t>
        </is>
      </c>
      <c r="C641" s="3" t="n"/>
      <c r="D641" s="3" t="inlineStr">
        <is>
          <t>Ylanna Nicolly Muniz Delfino - Transferência | Pix</t>
        </is>
      </c>
      <c r="E641" s="3" t="n">
        <v>-80.5</v>
      </c>
      <c r="F641" s="3" t="inlineStr">
        <is>
          <t>Débito</t>
        </is>
      </c>
      <c r="G641" s="3" t="inlineStr">
        <is>
          <t>Marketing e Publicidade - Sem NF</t>
        </is>
      </c>
      <c r="H641" s="3" t="inlineStr">
        <is>
          <t>2025-10</t>
        </is>
      </c>
      <c r="I641" s="3" t="n"/>
      <c r="J641" s="3" t="n"/>
    </row>
    <row r="642">
      <c r="A642" s="6" t="n">
        <v>45940</v>
      </c>
      <c r="B642" s="3" t="inlineStr">
        <is>
          <t>Marketing &amp; Growth Expenses</t>
        </is>
      </c>
      <c r="C642" s="3" t="n"/>
      <c r="D642" s="3" t="inlineStr">
        <is>
          <t>ZANDER MATIAS FERNANDES - Transferência | Pix</t>
        </is>
      </c>
      <c r="E642" s="3" t="n">
        <v>-168.5</v>
      </c>
      <c r="F642" s="3" t="inlineStr">
        <is>
          <t>Débito</t>
        </is>
      </c>
      <c r="G642" s="3" t="inlineStr">
        <is>
          <t>Marketing e Publicidade - Sem NF</t>
        </is>
      </c>
      <c r="H642" s="3" t="inlineStr">
        <is>
          <t>2025-10</t>
        </is>
      </c>
      <c r="I642" s="3" t="n"/>
      <c r="J642" s="3" t="n"/>
    </row>
    <row r="643">
      <c r="A643" s="6" t="n">
        <v>45940</v>
      </c>
      <c r="B643" s="3" t="inlineStr">
        <is>
          <t>Rendimentos de Aplicações</t>
        </is>
      </c>
      <c r="C643" s="3" t="inlineStr">
        <is>
          <t>CONTA SIMPLES</t>
        </is>
      </c>
      <c r="D643" s="3" t="inlineStr">
        <is>
          <t>Rentabilidade CDI - Remuneração-Cta Pgto</t>
        </is>
      </c>
      <c r="E643" s="3" t="n">
        <v>14.46</v>
      </c>
      <c r="F643" s="3" t="inlineStr">
        <is>
          <t>Crédito</t>
        </is>
      </c>
      <c r="G643" s="3" t="inlineStr">
        <is>
          <t>Rendimentos de Aplicações</t>
        </is>
      </c>
      <c r="H643" s="3" t="inlineStr">
        <is>
          <t>2025-10</t>
        </is>
      </c>
      <c r="I643" s="3" t="n"/>
      <c r="J643" s="3" t="n"/>
    </row>
    <row r="644">
      <c r="A644" s="6" t="n">
        <v>45941</v>
      </c>
      <c r="B644" s="3" t="inlineStr">
        <is>
          <t>Rendimentos de Aplicações</t>
        </is>
      </c>
      <c r="C644" s="3" t="inlineStr">
        <is>
          <t>CONTA SIMPLES</t>
        </is>
      </c>
      <c r="D644" s="3" t="inlineStr">
        <is>
          <t>Rentabilidade CDI - Remuneração-Cta Pgto</t>
        </is>
      </c>
      <c r="E644" s="3" t="n">
        <v>14.46</v>
      </c>
      <c r="F644" s="3" t="inlineStr">
        <is>
          <t>Crédito</t>
        </is>
      </c>
      <c r="G644" s="3" t="inlineStr">
        <is>
          <t>Rendimentos de Aplicações</t>
        </is>
      </c>
      <c r="H644" s="3" t="inlineStr">
        <is>
          <t>2025-10</t>
        </is>
      </c>
      <c r="I644" s="3" t="n"/>
      <c r="J644" s="3" t="n"/>
    </row>
    <row r="645">
      <c r="A645" s="6" t="n">
        <v>45930</v>
      </c>
      <c r="B645" s="3" t="inlineStr">
        <is>
          <t>Tech Support &amp; Services</t>
        </is>
      </c>
      <c r="C645" s="3" t="n"/>
      <c r="D645" s="3" t="inlineStr">
        <is>
          <t>VERCEL INC.</t>
        </is>
      </c>
      <c r="E645" s="3" t="n">
        <v>-110.17</v>
      </c>
      <c r="F645" s="3" t="inlineStr">
        <is>
          <t>Débito</t>
        </is>
      </c>
      <c r="G645" s="3" t="inlineStr">
        <is>
          <t>Software / Licença de Uso</t>
        </is>
      </c>
      <c r="H645" s="3" t="inlineStr">
        <is>
          <t>2025-09</t>
        </is>
      </c>
      <c r="I645" s="3" t="n"/>
      <c r="J645" s="3" t="n"/>
    </row>
    <row r="646">
      <c r="A646" s="6" t="n">
        <v>45912</v>
      </c>
      <c r="B646" s="3" t="inlineStr">
        <is>
          <t>Other Taxes</t>
        </is>
      </c>
      <c r="C646" s="3" t="n"/>
      <c r="D646" s="3" t="inlineStr">
        <is>
          <t>1PASSWORD</t>
        </is>
      </c>
      <c r="E646" s="3" t="n">
        <v>-21.44</v>
      </c>
      <c r="F646" s="3" t="inlineStr">
        <is>
          <t>Débito</t>
        </is>
      </c>
      <c r="G646" s="3" t="inlineStr">
        <is>
          <t>IOF</t>
        </is>
      </c>
      <c r="H646" s="3" t="inlineStr">
        <is>
          <t>2025-09</t>
        </is>
      </c>
      <c r="I646" s="3" t="n"/>
      <c r="J646" s="3" t="n"/>
    </row>
    <row r="647">
      <c r="A647" s="6" t="n">
        <v>45935</v>
      </c>
      <c r="B647" s="3" t="inlineStr">
        <is>
          <t>Tech Support &amp; Services</t>
        </is>
      </c>
      <c r="C647" s="3" t="n"/>
      <c r="D647" s="3" t="inlineStr">
        <is>
          <t>650 INDUSTRIES (EXPO)</t>
        </is>
      </c>
      <c r="E647" s="3" t="n">
        <v>-232.32</v>
      </c>
      <c r="F647" s="3" t="inlineStr">
        <is>
          <t>Débito</t>
        </is>
      </c>
      <c r="G647" s="3" t="inlineStr">
        <is>
          <t>Software / Licença de Uso</t>
        </is>
      </c>
      <c r="H647" s="3" t="inlineStr">
        <is>
          <t>2025-10</t>
        </is>
      </c>
      <c r="I647" s="3" t="n"/>
      <c r="J647" s="3" t="n"/>
    </row>
    <row r="648">
      <c r="A648" s="6" t="n">
        <v>45912</v>
      </c>
      <c r="B648" s="3" t="inlineStr">
        <is>
          <t>Tech Support &amp; Services</t>
        </is>
      </c>
      <c r="C648" s="3" t="n"/>
      <c r="D648" s="3" t="inlineStr">
        <is>
          <t>1PASSWORD</t>
        </is>
      </c>
      <c r="E648" s="3" t="n">
        <v>-612.49</v>
      </c>
      <c r="F648" s="3" t="inlineStr">
        <is>
          <t>Débito</t>
        </is>
      </c>
      <c r="G648" s="3" t="inlineStr">
        <is>
          <t>Software / Licença de Uso</t>
        </is>
      </c>
      <c r="H648" s="3" t="inlineStr">
        <is>
          <t>2025-09</t>
        </is>
      </c>
      <c r="I648" s="3" t="n"/>
      <c r="J648" s="3" t="n"/>
    </row>
    <row r="649">
      <c r="A649" s="6" t="n">
        <v>45937</v>
      </c>
      <c r="B649" s="3" t="inlineStr">
        <is>
          <t>Other Taxes</t>
        </is>
      </c>
      <c r="C649" s="3" t="n"/>
      <c r="D649" s="3" t="inlineStr">
        <is>
          <t>AGORAPULSE SAS</t>
        </is>
      </c>
      <c r="E649" s="3" t="n">
        <v>-9.449999999999999</v>
      </c>
      <c r="F649" s="3" t="inlineStr">
        <is>
          <t>Débito</t>
        </is>
      </c>
      <c r="G649" s="3" t="inlineStr">
        <is>
          <t>IOF</t>
        </is>
      </c>
      <c r="H649" s="3" t="inlineStr">
        <is>
          <t>2025-10</t>
        </is>
      </c>
      <c r="I649" s="3" t="n"/>
      <c r="J649" s="3" t="n"/>
    </row>
    <row r="650">
      <c r="A650" s="6" t="n">
        <v>45935</v>
      </c>
      <c r="B650" s="3" t="inlineStr">
        <is>
          <t>Other Taxes</t>
        </is>
      </c>
      <c r="C650" s="3" t="n"/>
      <c r="D650" s="3" t="inlineStr">
        <is>
          <t>650 INDUSTRIES (EXPO)</t>
        </is>
      </c>
      <c r="E650" s="3" t="n">
        <v>-8.130000000000001</v>
      </c>
      <c r="F650" s="3" t="inlineStr">
        <is>
          <t>Débito</t>
        </is>
      </c>
      <c r="G650" s="3" t="inlineStr">
        <is>
          <t>IOF</t>
        </is>
      </c>
      <c r="H650" s="3" t="inlineStr">
        <is>
          <t>2025-10</t>
        </is>
      </c>
      <c r="I650" s="3" t="n"/>
      <c r="J650" s="3" t="n"/>
    </row>
    <row r="651">
      <c r="A651" s="6" t="n">
        <v>45937</v>
      </c>
      <c r="B651" s="3" t="inlineStr">
        <is>
          <t>Tech Support &amp; Services</t>
        </is>
      </c>
      <c r="C651" s="3" t="n"/>
      <c r="D651" s="3" t="inlineStr">
        <is>
          <t>AGORAPULSE SAS</t>
        </is>
      </c>
      <c r="E651" s="3" t="n">
        <v>-269.91</v>
      </c>
      <c r="F651" s="3" t="inlineStr">
        <is>
          <t>Débito</t>
        </is>
      </c>
      <c r="G651" s="3" t="inlineStr">
        <is>
          <t>Software / Licença de Uso</t>
        </is>
      </c>
      <c r="H651" s="3" t="inlineStr">
        <is>
          <t>2025-10</t>
        </is>
      </c>
      <c r="I651" s="3" t="n"/>
      <c r="J651" s="3" t="n"/>
    </row>
    <row r="652">
      <c r="A652" s="6" t="n">
        <v>45915</v>
      </c>
      <c r="B652" s="3" t="inlineStr">
        <is>
          <t>Tech Support &amp; Services</t>
        </is>
      </c>
      <c r="C652" s="3" t="n"/>
      <c r="D652" s="3" t="inlineStr">
        <is>
          <t>AMPLITUDE, INC.</t>
        </is>
      </c>
      <c r="E652" s="3" t="n">
        <v>-8262.91</v>
      </c>
      <c r="F652" s="3" t="inlineStr">
        <is>
          <t>Débito</t>
        </is>
      </c>
      <c r="G652" s="3" t="inlineStr">
        <is>
          <t>Software / Licença de Uso</t>
        </is>
      </c>
      <c r="H652" s="3" t="inlineStr">
        <is>
          <t>2025-09</t>
        </is>
      </c>
      <c r="I652" s="3" t="n"/>
      <c r="J652" s="3" t="n"/>
    </row>
    <row r="653">
      <c r="A653" s="6" t="n">
        <v>45915</v>
      </c>
      <c r="B653" s="3" t="inlineStr">
        <is>
          <t>Other Taxes</t>
        </is>
      </c>
      <c r="C653" s="3" t="n"/>
      <c r="D653" s="3" t="inlineStr">
        <is>
          <t>AMPLITUDE, INC.</t>
        </is>
      </c>
      <c r="E653" s="3" t="n">
        <v>-289.2</v>
      </c>
      <c r="F653" s="3" t="inlineStr">
        <is>
          <t>Débito</t>
        </is>
      </c>
      <c r="G653" s="3" t="inlineStr">
        <is>
          <t>IOF</t>
        </is>
      </c>
      <c r="H653" s="3" t="inlineStr">
        <is>
          <t>2025-09</t>
        </is>
      </c>
      <c r="I653" s="3" t="n"/>
      <c r="J653" s="3" t="n"/>
    </row>
    <row r="654">
      <c r="A654" s="6" t="n">
        <v>45915</v>
      </c>
      <c r="B654" s="3" t="inlineStr">
        <is>
          <t>Other Taxes</t>
        </is>
      </c>
      <c r="C654" s="3" t="n"/>
      <c r="D654" s="3" t="inlineStr">
        <is>
          <t>AMPLITUDE, INC.</t>
        </is>
      </c>
      <c r="E654" s="3" t="n">
        <v>-54.44</v>
      </c>
      <c r="F654" s="3" t="inlineStr">
        <is>
          <t>Débito</t>
        </is>
      </c>
      <c r="G654" s="3" t="inlineStr">
        <is>
          <t>IOF</t>
        </is>
      </c>
      <c r="H654" s="3" t="inlineStr">
        <is>
          <t>2025-09</t>
        </is>
      </c>
      <c r="I654" s="3" t="n"/>
      <c r="J654" s="3" t="n"/>
    </row>
    <row r="655">
      <c r="A655" s="6" t="n">
        <v>45915</v>
      </c>
      <c r="B655" s="3" t="inlineStr">
        <is>
          <t>Tech Support &amp; Services</t>
        </is>
      </c>
      <c r="C655" s="3" t="n"/>
      <c r="D655" s="3" t="inlineStr">
        <is>
          <t>AMPLITUDE, INC.</t>
        </is>
      </c>
      <c r="E655" s="3" t="n">
        <v>-1555.37</v>
      </c>
      <c r="F655" s="3" t="inlineStr">
        <is>
          <t>Débito</t>
        </is>
      </c>
      <c r="G655" s="3" t="inlineStr">
        <is>
          <t>Software / Licença de Uso</t>
        </is>
      </c>
      <c r="H655" s="3" t="inlineStr">
        <is>
          <t>2025-09</t>
        </is>
      </c>
      <c r="I655" s="3" t="n"/>
      <c r="J655" s="3" t="n"/>
    </row>
    <row r="656">
      <c r="A656" s="6" t="n">
        <v>45931</v>
      </c>
      <c r="B656" s="3" t="inlineStr">
        <is>
          <t>Tech Support &amp; Services</t>
        </is>
      </c>
      <c r="C656" s="3" t="n"/>
      <c r="D656" s="3" t="inlineStr">
        <is>
          <t>AMPLITUDE, INC.</t>
        </is>
      </c>
      <c r="E656" s="3" t="n">
        <v>-17337.91</v>
      </c>
      <c r="F656" s="3" t="inlineStr">
        <is>
          <t>Débito</t>
        </is>
      </c>
      <c r="G656" s="3" t="inlineStr">
        <is>
          <t>Software / Licença de Uso</t>
        </is>
      </c>
      <c r="H656" s="3" t="inlineStr">
        <is>
          <t>2025-10</t>
        </is>
      </c>
      <c r="I656" s="3" t="n"/>
      <c r="J656" s="3" t="n"/>
    </row>
    <row r="657">
      <c r="A657" s="6" t="n">
        <v>45931</v>
      </c>
      <c r="B657" s="3" t="inlineStr">
        <is>
          <t>Other Taxes</t>
        </is>
      </c>
      <c r="C657" s="3" t="n"/>
      <c r="D657" s="3" t="inlineStr">
        <is>
          <t>AMPLITUDE, INC.</t>
        </is>
      </c>
      <c r="E657" s="3" t="n">
        <v>-606.83</v>
      </c>
      <c r="F657" s="3" t="inlineStr">
        <is>
          <t>Débito</t>
        </is>
      </c>
      <c r="G657" s="3" t="inlineStr">
        <is>
          <t>IOF</t>
        </is>
      </c>
      <c r="H657" s="3" t="inlineStr">
        <is>
          <t>2025-10</t>
        </is>
      </c>
      <c r="I657" s="3" t="n"/>
      <c r="J657" s="3" t="n"/>
    </row>
    <row r="658">
      <c r="A658" s="6" t="n">
        <v>45931</v>
      </c>
      <c r="B658" s="3" t="inlineStr">
        <is>
          <t>Tech Support &amp; Services</t>
        </is>
      </c>
      <c r="C658" s="3" t="n"/>
      <c r="D658" s="3" t="inlineStr">
        <is>
          <t>APPLE.COM/BILL</t>
        </is>
      </c>
      <c r="E658" s="3" t="n">
        <v>-109</v>
      </c>
      <c r="F658" s="3" t="inlineStr">
        <is>
          <t>Débito</t>
        </is>
      </c>
      <c r="G658" s="3" t="inlineStr">
        <is>
          <t>Software / Licença de Uso</t>
        </is>
      </c>
      <c r="H658" s="3" t="inlineStr">
        <is>
          <t>2025-10</t>
        </is>
      </c>
      <c r="I658" s="3" t="n"/>
      <c r="J658" s="3" t="n"/>
    </row>
    <row r="659">
      <c r="A659" s="6" t="n">
        <v>45933</v>
      </c>
      <c r="B659" s="3" t="inlineStr">
        <is>
          <t>Tech Support &amp; Services</t>
        </is>
      </c>
      <c r="C659" s="3" t="n"/>
      <c r="D659" s="3" t="inlineStr">
        <is>
          <t>ASAAS*SOCIALHUB SERVICOS</t>
        </is>
      </c>
      <c r="E659" s="3" t="n">
        <v>-199</v>
      </c>
      <c r="F659" s="3" t="inlineStr">
        <is>
          <t>Débito</t>
        </is>
      </c>
      <c r="G659" s="3" t="inlineStr">
        <is>
          <t>Software / Licença de Uso</t>
        </is>
      </c>
      <c r="H659" s="3" t="inlineStr">
        <is>
          <t>2025-10</t>
        </is>
      </c>
      <c r="I659" s="3" t="n"/>
      <c r="J659" s="3" t="n"/>
    </row>
    <row r="660">
      <c r="A660" s="6" t="n">
        <v>45922</v>
      </c>
      <c r="B660" s="3" t="inlineStr">
        <is>
          <t>Other Taxes</t>
        </is>
      </c>
      <c r="C660" s="3" t="n"/>
      <c r="D660" s="3" t="inlineStr">
        <is>
          <t>BLAZE TODAY</t>
        </is>
      </c>
      <c r="E660" s="3" t="n">
        <v>-0.67</v>
      </c>
      <c r="F660" s="3" t="inlineStr">
        <is>
          <t>Débito</t>
        </is>
      </c>
      <c r="G660" s="3" t="inlineStr">
        <is>
          <t>IOF</t>
        </is>
      </c>
      <c r="H660" s="3" t="inlineStr">
        <is>
          <t>2025-09</t>
        </is>
      </c>
      <c r="I660" s="3" t="n"/>
      <c r="J660" s="3" t="n"/>
    </row>
    <row r="661">
      <c r="A661" s="6" t="n">
        <v>45922</v>
      </c>
      <c r="B661" s="3" t="inlineStr">
        <is>
          <t>Web Services Expenses</t>
        </is>
      </c>
      <c r="C661" s="3" t="n"/>
      <c r="D661" s="3" t="inlineStr">
        <is>
          <t>BLAZE TODAY</t>
        </is>
      </c>
      <c r="E661" s="3" t="n">
        <v>-19.24</v>
      </c>
      <c r="F661" s="3" t="inlineStr">
        <is>
          <t>Débito</t>
        </is>
      </c>
      <c r="G661" s="3" t="inlineStr">
        <is>
          <t>Software / Licença de Uso</t>
        </is>
      </c>
      <c r="H661" s="3" t="inlineStr">
        <is>
          <t>2025-09</t>
        </is>
      </c>
      <c r="I661" s="3" t="n"/>
      <c r="J661" s="3" t="n"/>
    </row>
    <row r="662">
      <c r="A662" s="6" t="n">
        <v>45931</v>
      </c>
      <c r="B662" s="3" t="inlineStr">
        <is>
          <t>Web Services Expenses</t>
        </is>
      </c>
      <c r="C662" s="3" t="n"/>
      <c r="D662" s="3" t="inlineStr">
        <is>
          <t>AWS BRAZIL</t>
        </is>
      </c>
      <c r="E662" s="3" t="n">
        <v>-234.35</v>
      </c>
      <c r="F662" s="3" t="inlineStr">
        <is>
          <t>Débito</t>
        </is>
      </c>
      <c r="G662" s="3" t="inlineStr">
        <is>
          <t>Software / Licença de Uso</t>
        </is>
      </c>
      <c r="H662" s="3" t="inlineStr">
        <is>
          <t>2025-10</t>
        </is>
      </c>
      <c r="I662" s="3" t="n"/>
      <c r="J662" s="3" t="n"/>
    </row>
    <row r="663">
      <c r="A663" s="6" t="n">
        <v>45929</v>
      </c>
      <c r="B663" s="3" t="inlineStr">
        <is>
          <t>Tech Support &amp; Services</t>
        </is>
      </c>
      <c r="C663" s="3" t="n"/>
      <c r="D663" s="3" t="inlineStr">
        <is>
          <t>CLOUDFLARE</t>
        </is>
      </c>
      <c r="E663" s="3" t="n">
        <v>-385.61</v>
      </c>
      <c r="F663" s="3" t="inlineStr">
        <is>
          <t>Débito</t>
        </is>
      </c>
      <c r="G663" s="3" t="inlineStr">
        <is>
          <t>Software / Licença de Uso</t>
        </is>
      </c>
      <c r="H663" s="3" t="inlineStr">
        <is>
          <t>2025-09</t>
        </is>
      </c>
      <c r="I663" s="3" t="n"/>
      <c r="J663" s="3" t="n"/>
    </row>
    <row r="664">
      <c r="A664" s="6" t="n">
        <v>45929</v>
      </c>
      <c r="B664" s="3" t="inlineStr">
        <is>
          <t>Other Taxes</t>
        </is>
      </c>
      <c r="C664" s="3" t="n"/>
      <c r="D664" s="3" t="inlineStr">
        <is>
          <t>CLOUDFLARE</t>
        </is>
      </c>
      <c r="E664" s="3" t="n">
        <v>-13.5</v>
      </c>
      <c r="F664" s="3" t="inlineStr">
        <is>
          <t>Débito</t>
        </is>
      </c>
      <c r="G664" s="3" t="inlineStr">
        <is>
          <t>IOF</t>
        </is>
      </c>
      <c r="H664" s="3" t="inlineStr">
        <is>
          <t>2025-09</t>
        </is>
      </c>
      <c r="I664" s="3" t="n"/>
      <c r="J664" s="3" t="n"/>
    </row>
    <row r="665">
      <c r="A665" s="6" t="n">
        <v>45924</v>
      </c>
      <c r="B665" s="3" t="inlineStr">
        <is>
          <t>Web Services Expenses</t>
        </is>
      </c>
      <c r="C665" s="3" t="n"/>
      <c r="D665" s="3" t="inlineStr">
        <is>
          <t>CONTA AZUL</t>
        </is>
      </c>
      <c r="E665" s="3" t="n">
        <v>-401.46</v>
      </c>
      <c r="F665" s="3" t="inlineStr">
        <is>
          <t>Débito</t>
        </is>
      </c>
      <c r="G665" s="3" t="inlineStr">
        <is>
          <t>Software / Licença de Uso</t>
        </is>
      </c>
      <c r="H665" s="3" t="inlineStr">
        <is>
          <t>2025-09</t>
        </is>
      </c>
      <c r="I665" s="3" t="n"/>
      <c r="J665" s="3" t="n"/>
    </row>
    <row r="666">
      <c r="A666" s="6" t="n">
        <v>45909</v>
      </c>
      <c r="B666" s="3" t="inlineStr">
        <is>
          <t>Other Taxes</t>
        </is>
      </c>
      <c r="C666" s="3" t="n"/>
      <c r="D666" s="3" t="inlineStr">
        <is>
          <t>CURSOR USAGE  AUG</t>
        </is>
      </c>
      <c r="E666" s="3" t="n">
        <v>-3.28</v>
      </c>
      <c r="F666" s="3" t="inlineStr">
        <is>
          <t>Débito</t>
        </is>
      </c>
      <c r="G666" s="3" t="inlineStr">
        <is>
          <t>IOF</t>
        </is>
      </c>
      <c r="H666" s="3" t="inlineStr">
        <is>
          <t>2025-09</t>
        </is>
      </c>
      <c r="I666" s="3" t="n"/>
      <c r="J666" s="3" t="n"/>
    </row>
    <row r="667">
      <c r="A667" s="6" t="n">
        <v>45909</v>
      </c>
      <c r="B667" s="3" t="inlineStr">
        <is>
          <t>Tech Support &amp; Services</t>
        </is>
      </c>
      <c r="C667" s="3" t="n"/>
      <c r="D667" s="3" t="inlineStr">
        <is>
          <t>CURSOR USAGE  AUG</t>
        </is>
      </c>
      <c r="E667" s="3" t="n">
        <v>-93.81</v>
      </c>
      <c r="F667" s="3" t="inlineStr">
        <is>
          <t>Débito</t>
        </is>
      </c>
      <c r="G667" s="3" t="inlineStr">
        <is>
          <t>Software / Licença de Uso</t>
        </is>
      </c>
      <c r="H667" s="3" t="inlineStr">
        <is>
          <t>2025-09</t>
        </is>
      </c>
      <c r="I667" s="3" t="n"/>
      <c r="J667" s="3" t="n"/>
    </row>
    <row r="668">
      <c r="A668" s="6" t="n">
        <v>45922</v>
      </c>
      <c r="B668" s="3" t="inlineStr">
        <is>
          <t>Other Taxes</t>
        </is>
      </c>
      <c r="C668" s="3" t="n"/>
      <c r="D668" s="3" t="inlineStr">
        <is>
          <t>CURSOR USAGE MID  SEP</t>
        </is>
      </c>
      <c r="E668" s="3" t="n">
        <v>-11.67</v>
      </c>
      <c r="F668" s="3" t="inlineStr">
        <is>
          <t>Débito</t>
        </is>
      </c>
      <c r="G668" s="3" t="inlineStr">
        <is>
          <t>IOF</t>
        </is>
      </c>
      <c r="H668" s="3" t="inlineStr">
        <is>
          <t>2025-09</t>
        </is>
      </c>
      <c r="I668" s="3" t="n"/>
      <c r="J668" s="3" t="n"/>
    </row>
    <row r="669">
      <c r="A669" s="6" t="n">
        <v>45922</v>
      </c>
      <c r="B669" s="3" t="inlineStr">
        <is>
          <t>Tech Support &amp; Services</t>
        </is>
      </c>
      <c r="C669" s="3" t="n"/>
      <c r="D669" s="3" t="inlineStr">
        <is>
          <t>CURSOR USAGE MID  SEP</t>
        </is>
      </c>
      <c r="E669" s="3" t="n">
        <v>-333.34</v>
      </c>
      <c r="F669" s="3" t="inlineStr">
        <is>
          <t>Débito</t>
        </is>
      </c>
      <c r="G669" s="3" t="inlineStr">
        <is>
          <t>Software / Licença de Uso</t>
        </is>
      </c>
      <c r="H669" s="3" t="inlineStr">
        <is>
          <t>2025-09</t>
        </is>
      </c>
      <c r="I669" s="3" t="n"/>
      <c r="J669" s="3" t="n"/>
    </row>
    <row r="670">
      <c r="A670" s="6" t="n">
        <v>45915</v>
      </c>
      <c r="B670" s="3" t="inlineStr">
        <is>
          <t>Tech Support &amp; Services</t>
        </is>
      </c>
      <c r="C670" s="3" t="n"/>
      <c r="D670" s="3" t="inlineStr">
        <is>
          <t>CURSOR, AI POWERED IDE</t>
        </is>
      </c>
      <c r="E670" s="3" t="n">
        <v>-111.1</v>
      </c>
      <c r="F670" s="3" t="inlineStr">
        <is>
          <t>Débito</t>
        </is>
      </c>
      <c r="G670" s="3" t="inlineStr">
        <is>
          <t>Software / Licença de Uso</t>
        </is>
      </c>
      <c r="H670" s="3" t="inlineStr">
        <is>
          <t>2025-09</t>
        </is>
      </c>
      <c r="I670" s="3" t="n"/>
      <c r="J670" s="3" t="n"/>
    </row>
    <row r="671">
      <c r="A671" s="6" t="n">
        <v>45915</v>
      </c>
      <c r="B671" s="3" t="inlineStr">
        <is>
          <t>Other Taxes</t>
        </is>
      </c>
      <c r="C671" s="3" t="n"/>
      <c r="D671" s="3" t="inlineStr">
        <is>
          <t>CURSOR, AI POWERED IDE</t>
        </is>
      </c>
      <c r="E671" s="3" t="n">
        <v>-3.89</v>
      </c>
      <c r="F671" s="3" t="inlineStr">
        <is>
          <t>Débito</t>
        </is>
      </c>
      <c r="G671" s="3" t="inlineStr">
        <is>
          <t>IOF</t>
        </is>
      </c>
      <c r="H671" s="3" t="inlineStr">
        <is>
          <t>2025-09</t>
        </is>
      </c>
      <c r="I671" s="3" t="n"/>
      <c r="J671" s="3" t="n"/>
    </row>
    <row r="672">
      <c r="A672" s="6" t="n">
        <v>45921</v>
      </c>
      <c r="B672" s="3" t="inlineStr">
        <is>
          <t>Tech Support &amp; Services</t>
        </is>
      </c>
      <c r="C672" s="3" t="n"/>
      <c r="D672" s="3" t="inlineStr">
        <is>
          <t>CURSOR, AI POWERED IDE</t>
        </is>
      </c>
      <c r="E672" s="3" t="n">
        <v>-109.72</v>
      </c>
      <c r="F672" s="3" t="inlineStr">
        <is>
          <t>Débito</t>
        </is>
      </c>
      <c r="G672" s="3" t="inlineStr">
        <is>
          <t>Software / Licença de Uso</t>
        </is>
      </c>
      <c r="H672" s="3" t="inlineStr">
        <is>
          <t>2025-09</t>
        </is>
      </c>
      <c r="I672" s="3" t="n"/>
      <c r="J672" s="3" t="n"/>
    </row>
    <row r="673">
      <c r="A673" s="6" t="n">
        <v>45920</v>
      </c>
      <c r="B673" s="3" t="inlineStr">
        <is>
          <t>Tech Support &amp; Services</t>
        </is>
      </c>
      <c r="C673" s="3" t="n"/>
      <c r="D673" s="3" t="inlineStr">
        <is>
          <t>DROPBOX DOCSEND</t>
        </is>
      </c>
      <c r="E673" s="3" t="n">
        <v>-82.29000000000001</v>
      </c>
      <c r="F673" s="3" t="inlineStr">
        <is>
          <t>Débito</t>
        </is>
      </c>
      <c r="G673" s="3" t="inlineStr">
        <is>
          <t>Software / Licença de Uso</t>
        </is>
      </c>
      <c r="H673" s="3" t="inlineStr">
        <is>
          <t>2025-09</t>
        </is>
      </c>
      <c r="I673" s="3" t="n"/>
      <c r="J673" s="3" t="n"/>
    </row>
    <row r="674">
      <c r="A674" s="6" t="n">
        <v>45921</v>
      </c>
      <c r="B674" s="3" t="inlineStr">
        <is>
          <t>Other Taxes</t>
        </is>
      </c>
      <c r="C674" s="3" t="n"/>
      <c r="D674" s="3" t="inlineStr">
        <is>
          <t>CURSOR, AI POWERED IDE</t>
        </is>
      </c>
      <c r="E674" s="3" t="n">
        <v>-3.84</v>
      </c>
      <c r="F674" s="3" t="inlineStr">
        <is>
          <t>Débito</t>
        </is>
      </c>
      <c r="G674" s="3" t="inlineStr">
        <is>
          <t>IOF</t>
        </is>
      </c>
      <c r="H674" s="3" t="inlineStr">
        <is>
          <t>2025-09</t>
        </is>
      </c>
      <c r="I674" s="3" t="n"/>
      <c r="J674" s="3" t="n"/>
    </row>
    <row r="675">
      <c r="A675" s="6" t="n">
        <v>45920</v>
      </c>
      <c r="B675" s="3" t="inlineStr">
        <is>
          <t>Other Taxes</t>
        </is>
      </c>
      <c r="C675" s="3" t="n"/>
      <c r="D675" s="3" t="inlineStr">
        <is>
          <t>DROPBOX DOCSEND</t>
        </is>
      </c>
      <c r="E675" s="3" t="n">
        <v>-2.88</v>
      </c>
      <c r="F675" s="3" t="inlineStr">
        <is>
          <t>Débito</t>
        </is>
      </c>
      <c r="G675" s="3" t="inlineStr">
        <is>
          <t>IOF</t>
        </is>
      </c>
      <c r="H675" s="3" t="inlineStr">
        <is>
          <t>2025-09</t>
        </is>
      </c>
      <c r="I675" s="3" t="n"/>
      <c r="J675" s="3" t="n"/>
    </row>
    <row r="676">
      <c r="A676" s="6" t="n">
        <v>45918</v>
      </c>
      <c r="B676" s="3" t="inlineStr">
        <is>
          <t>Other Taxes</t>
        </is>
      </c>
      <c r="C676" s="3" t="n"/>
      <c r="D676" s="3" t="inlineStr">
        <is>
          <t>FIGMA</t>
        </is>
      </c>
      <c r="E676" s="3" t="n">
        <v>-15.36</v>
      </c>
      <c r="F676" s="3" t="inlineStr">
        <is>
          <t>Débito</t>
        </is>
      </c>
      <c r="G676" s="3" t="inlineStr">
        <is>
          <t>IOF</t>
        </is>
      </c>
      <c r="H676" s="3" t="inlineStr">
        <is>
          <t>2025-09</t>
        </is>
      </c>
      <c r="I676" s="3" t="n"/>
      <c r="J676" s="3" t="n"/>
    </row>
    <row r="677">
      <c r="A677" s="6" t="n">
        <v>45918</v>
      </c>
      <c r="B677" s="3" t="inlineStr">
        <is>
          <t>Tech Support &amp; Services</t>
        </is>
      </c>
      <c r="C677" s="3" t="n"/>
      <c r="D677" s="3" t="inlineStr">
        <is>
          <t>FIGMA</t>
        </is>
      </c>
      <c r="E677" s="3" t="n">
        <v>-438.88</v>
      </c>
      <c r="F677" s="3" t="inlineStr">
        <is>
          <t>Débito</t>
        </is>
      </c>
      <c r="G677" s="3" t="inlineStr">
        <is>
          <t>Software / Licença de Uso</t>
        </is>
      </c>
      <c r="H677" s="3" t="inlineStr">
        <is>
          <t>2025-09</t>
        </is>
      </c>
      <c r="I677" s="3" t="n"/>
      <c r="J677" s="3" t="n"/>
    </row>
    <row r="678">
      <c r="A678" s="6" t="n">
        <v>45915</v>
      </c>
      <c r="B678" s="3" t="inlineStr">
        <is>
          <t>Tech Support &amp; Services</t>
        </is>
      </c>
      <c r="C678" s="3" t="n"/>
      <c r="D678" s="3" t="inlineStr">
        <is>
          <t>FRAMER.COM</t>
        </is>
      </c>
      <c r="E678" s="3" t="n">
        <v>-197.53</v>
      </c>
      <c r="F678" s="3" t="inlineStr">
        <is>
          <t>Débito</t>
        </is>
      </c>
      <c r="G678" s="3" t="inlineStr">
        <is>
          <t>Software / Licença de Uso</t>
        </is>
      </c>
      <c r="H678" s="3" t="inlineStr">
        <is>
          <t>2025-09</t>
        </is>
      </c>
      <c r="I678" s="3" t="n"/>
      <c r="J678" s="3" t="n"/>
    </row>
    <row r="679">
      <c r="A679" s="6" t="n">
        <v>45915</v>
      </c>
      <c r="B679" s="3" t="inlineStr">
        <is>
          <t>Other Taxes</t>
        </is>
      </c>
      <c r="C679" s="3" t="n"/>
      <c r="D679" s="3" t="inlineStr">
        <is>
          <t>FRAMER.COM</t>
        </is>
      </c>
      <c r="E679" s="3" t="n">
        <v>-6.91</v>
      </c>
      <c r="F679" s="3" t="inlineStr">
        <is>
          <t>Débito</t>
        </is>
      </c>
      <c r="G679" s="3" t="inlineStr">
        <is>
          <t>IOF</t>
        </is>
      </c>
      <c r="H679" s="3" t="inlineStr">
        <is>
          <t>2025-09</t>
        </is>
      </c>
      <c r="I679" s="3" t="n"/>
      <c r="J679" s="3" t="n"/>
    </row>
    <row r="680">
      <c r="A680" s="6" t="n">
        <v>45916</v>
      </c>
      <c r="B680" s="3" t="inlineStr">
        <is>
          <t>Tech Support &amp; Services</t>
        </is>
      </c>
      <c r="C680" s="3" t="n"/>
      <c r="D680" s="3" t="inlineStr">
        <is>
          <t>GITHUB, INC.</t>
        </is>
      </c>
      <c r="E680" s="3" t="n">
        <v>-468.04</v>
      </c>
      <c r="F680" s="3" t="inlineStr">
        <is>
          <t>Débito</t>
        </is>
      </c>
      <c r="G680" s="3" t="inlineStr">
        <is>
          <t>Software / Licença de Uso</t>
        </is>
      </c>
      <c r="H680" s="3" t="inlineStr">
        <is>
          <t>2025-09</t>
        </is>
      </c>
      <c r="I680" s="3" t="n"/>
      <c r="J680" s="3" t="n"/>
    </row>
    <row r="681">
      <c r="A681" s="6" t="n">
        <v>45916</v>
      </c>
      <c r="B681" s="3" t="inlineStr">
        <is>
          <t>Other Taxes</t>
        </is>
      </c>
      <c r="C681" s="3" t="n"/>
      <c r="D681" s="3" t="inlineStr">
        <is>
          <t>GITHUB, INC.</t>
        </is>
      </c>
      <c r="E681" s="3" t="n">
        <v>-16.38</v>
      </c>
      <c r="F681" s="3" t="inlineStr">
        <is>
          <t>Débito</t>
        </is>
      </c>
      <c r="G681" s="3" t="inlineStr">
        <is>
          <t>IOF</t>
        </is>
      </c>
      <c r="H681" s="3" t="inlineStr">
        <is>
          <t>2025-09</t>
        </is>
      </c>
      <c r="I681" s="3" t="n"/>
      <c r="J681" s="3" t="n"/>
    </row>
    <row r="682">
      <c r="A682" s="6" t="n">
        <v>45931</v>
      </c>
      <c r="B682" s="3" t="inlineStr">
        <is>
          <t>Tech Support &amp; Services</t>
        </is>
      </c>
      <c r="C682" s="3" t="n"/>
      <c r="D682" s="3" t="inlineStr">
        <is>
          <t>GOOGLE GSUITE_UMATCH.COM.</t>
        </is>
      </c>
      <c r="E682" s="3" t="n">
        <v>-1470</v>
      </c>
      <c r="F682" s="3" t="inlineStr">
        <is>
          <t>Débito</t>
        </is>
      </c>
      <c r="G682" s="3" t="inlineStr">
        <is>
          <t>Software / Licença de Uso</t>
        </is>
      </c>
      <c r="H682" s="3" t="inlineStr">
        <is>
          <t>2025-10</t>
        </is>
      </c>
      <c r="I682" s="3" t="n"/>
      <c r="J682" s="3" t="n"/>
    </row>
    <row r="683">
      <c r="A683" s="6" t="n">
        <v>45908</v>
      </c>
      <c r="B683" s="3" t="inlineStr">
        <is>
          <t>Other Taxes</t>
        </is>
      </c>
      <c r="C683" s="3" t="n"/>
      <c r="D683" s="3" t="inlineStr">
        <is>
          <t>HEROKU* AUG-107382503</t>
        </is>
      </c>
      <c r="E683" s="3" t="n">
        <v>-1.37</v>
      </c>
      <c r="F683" s="3" t="inlineStr">
        <is>
          <t>Débito</t>
        </is>
      </c>
      <c r="G683" s="3" t="inlineStr">
        <is>
          <t>IOF</t>
        </is>
      </c>
      <c r="H683" s="3" t="inlineStr">
        <is>
          <t>2025-09</t>
        </is>
      </c>
      <c r="I683" s="3" t="n"/>
      <c r="J683" s="3" t="n"/>
    </row>
    <row r="684">
      <c r="A684" s="6" t="n">
        <v>45937</v>
      </c>
      <c r="B684" s="3" t="inlineStr">
        <is>
          <t>Other Taxes</t>
        </is>
      </c>
      <c r="C684" s="3" t="n"/>
      <c r="D684" s="3" t="inlineStr">
        <is>
          <t>HEROKU* SEP-107933858</t>
        </is>
      </c>
      <c r="E684" s="3" t="n">
        <v>-1.35</v>
      </c>
      <c r="F684" s="3" t="inlineStr">
        <is>
          <t>Débito</t>
        </is>
      </c>
      <c r="G684" s="3" t="inlineStr">
        <is>
          <t>IOF</t>
        </is>
      </c>
      <c r="H684" s="3" t="inlineStr">
        <is>
          <t>2025-10</t>
        </is>
      </c>
      <c r="I684" s="3" t="n"/>
      <c r="J684" s="3" t="n"/>
    </row>
    <row r="685">
      <c r="A685" s="6" t="n">
        <v>45908</v>
      </c>
      <c r="B685" s="3" t="inlineStr">
        <is>
          <t>Tech Support &amp; Services</t>
        </is>
      </c>
      <c r="C685" s="3" t="n"/>
      <c r="D685" s="3" t="inlineStr">
        <is>
          <t>HEROKU* AUG-107382503</t>
        </is>
      </c>
      <c r="E685" s="3" t="n">
        <v>-39.1</v>
      </c>
      <c r="F685" s="3" t="inlineStr">
        <is>
          <t>Débito</t>
        </is>
      </c>
      <c r="G685" s="3" t="inlineStr">
        <is>
          <t>Software / Licença de Uso</t>
        </is>
      </c>
      <c r="H685" s="3" t="inlineStr">
        <is>
          <t>2025-09</t>
        </is>
      </c>
      <c r="I685" s="3" t="n"/>
      <c r="J685" s="3" t="n"/>
    </row>
    <row r="686">
      <c r="A686" s="6" t="n">
        <v>45937</v>
      </c>
      <c r="B686" s="3" t="inlineStr">
        <is>
          <t>Tech Support &amp; Services</t>
        </is>
      </c>
      <c r="C686" s="3" t="n"/>
      <c r="D686" s="3" t="inlineStr">
        <is>
          <t>HEROKU* SEP-107933858</t>
        </is>
      </c>
      <c r="E686" s="3" t="n">
        <v>-38.56</v>
      </c>
      <c r="F686" s="3" t="inlineStr">
        <is>
          <t>Débito</t>
        </is>
      </c>
      <c r="G686" s="3" t="inlineStr">
        <is>
          <t>Software / Licença de Uso</t>
        </is>
      </c>
      <c r="H686" s="3" t="inlineStr">
        <is>
          <t>2025-10</t>
        </is>
      </c>
      <c r="I686" s="3" t="n"/>
      <c r="J686" s="3" t="n"/>
    </row>
    <row r="687">
      <c r="A687" s="6" t="n">
        <v>45933</v>
      </c>
      <c r="B687" s="3" t="inlineStr">
        <is>
          <t>Tech Support &amp; Services</t>
        </is>
      </c>
      <c r="C687" s="3" t="n"/>
      <c r="D687" s="3" t="inlineStr">
        <is>
          <t>LINKEDIN</t>
        </is>
      </c>
      <c r="E687" s="3" t="n">
        <v>-1000</v>
      </c>
      <c r="F687" s="3" t="inlineStr">
        <is>
          <t>Débito</t>
        </is>
      </c>
      <c r="G687" s="3" t="inlineStr">
        <is>
          <t>Software / Licença de Uso</t>
        </is>
      </c>
      <c r="H687" s="3" t="inlineStr">
        <is>
          <t>2025-10</t>
        </is>
      </c>
      <c r="I687" s="3" t="n"/>
      <c r="J687" s="3" t="n"/>
    </row>
    <row r="688">
      <c r="A688" s="6" t="n">
        <v>45913</v>
      </c>
      <c r="B688" s="3" t="inlineStr">
        <is>
          <t>Tech Support &amp; Services</t>
        </is>
      </c>
      <c r="C688" s="3" t="n"/>
      <c r="D688" s="3" t="inlineStr">
        <is>
          <t>LINKEDIN</t>
        </is>
      </c>
      <c r="E688" s="3" t="n">
        <v>-739.99</v>
      </c>
      <c r="F688" s="3" t="inlineStr">
        <is>
          <t>Débito</t>
        </is>
      </c>
      <c r="G688" s="3" t="inlineStr">
        <is>
          <t>Software / Licença de Uso</t>
        </is>
      </c>
      <c r="H688" s="3" t="inlineStr">
        <is>
          <t>2025-09</t>
        </is>
      </c>
      <c r="I688" s="3" t="n"/>
      <c r="J688" s="3" t="n"/>
    </row>
    <row r="689">
      <c r="A689" s="6" t="n">
        <v>45930</v>
      </c>
      <c r="B689" s="3" t="inlineStr">
        <is>
          <t>Other Taxes</t>
        </is>
      </c>
      <c r="C689" s="3" t="n"/>
      <c r="D689" s="3" t="inlineStr">
        <is>
          <t>MANYCHAT.COM</t>
        </is>
      </c>
      <c r="E689" s="3" t="n">
        <v>-2.89</v>
      </c>
      <c r="F689" s="3" t="inlineStr">
        <is>
          <t>Débito</t>
        </is>
      </c>
      <c r="G689" s="3" t="inlineStr">
        <is>
          <t>IOF</t>
        </is>
      </c>
      <c r="H689" s="3" t="inlineStr">
        <is>
          <t>2025-09</t>
        </is>
      </c>
      <c r="I689" s="3" t="n"/>
      <c r="J689" s="3" t="n"/>
    </row>
    <row r="690">
      <c r="A690" s="6" t="n">
        <v>45930</v>
      </c>
      <c r="B690" s="3" t="inlineStr">
        <is>
          <t>Tech Support &amp; Services</t>
        </is>
      </c>
      <c r="C690" s="3" t="n"/>
      <c r="D690" s="3" t="inlineStr">
        <is>
          <t>MANYCHAT.COM</t>
        </is>
      </c>
      <c r="E690" s="3" t="n">
        <v>-82.63</v>
      </c>
      <c r="F690" s="3" t="inlineStr">
        <is>
          <t>Débito</t>
        </is>
      </c>
      <c r="G690" s="3" t="inlineStr">
        <is>
          <t>Software / Licença de Uso</t>
        </is>
      </c>
      <c r="H690" s="3" t="inlineStr">
        <is>
          <t>2025-09</t>
        </is>
      </c>
      <c r="I690" s="3" t="n"/>
      <c r="J690" s="3" t="n"/>
    </row>
    <row r="691">
      <c r="A691" s="6" t="n">
        <v>45927</v>
      </c>
      <c r="B691" s="3" t="inlineStr">
        <is>
          <t>Other Taxes</t>
        </is>
      </c>
      <c r="C691" s="3" t="n"/>
      <c r="D691" s="3" t="inlineStr">
        <is>
          <t>OPENAI *CHATGPT SUBSCR</t>
        </is>
      </c>
      <c r="E691" s="3" t="n">
        <v>-3.87</v>
      </c>
      <c r="F691" s="3" t="inlineStr">
        <is>
          <t>Débito</t>
        </is>
      </c>
      <c r="G691" s="3" t="inlineStr">
        <is>
          <t>IOF</t>
        </is>
      </c>
      <c r="H691" s="3" t="inlineStr">
        <is>
          <t>2025-09</t>
        </is>
      </c>
      <c r="I691" s="3" t="n"/>
      <c r="J691" s="3" t="n"/>
    </row>
    <row r="692">
      <c r="A692" s="6" t="n">
        <v>45930</v>
      </c>
      <c r="B692" s="3" t="inlineStr">
        <is>
          <t>Other Taxes</t>
        </is>
      </c>
      <c r="C692" s="3" t="n"/>
      <c r="D692" s="3" t="inlineStr">
        <is>
          <t>PADDLE.NET* IAPHUB</t>
        </is>
      </c>
      <c r="E692" s="3" t="n">
        <v>-76.86</v>
      </c>
      <c r="F692" s="3" t="inlineStr">
        <is>
          <t>Débito</t>
        </is>
      </c>
      <c r="G692" s="3" t="inlineStr">
        <is>
          <t>IOF</t>
        </is>
      </c>
      <c r="H692" s="3" t="inlineStr">
        <is>
          <t>2025-09</t>
        </is>
      </c>
      <c r="I692" s="3" t="n"/>
      <c r="J692" s="3" t="n"/>
    </row>
    <row r="693">
      <c r="A693" s="6" t="n">
        <v>45930</v>
      </c>
      <c r="B693" s="3" t="inlineStr">
        <is>
          <t>Web Services Expenses</t>
        </is>
      </c>
      <c r="C693" s="3" t="n"/>
      <c r="D693" s="3" t="inlineStr">
        <is>
          <t>PADDLE.NET* IAPHUB</t>
        </is>
      </c>
      <c r="E693" s="3" t="n">
        <v>-2196.14</v>
      </c>
      <c r="F693" s="3" t="inlineStr">
        <is>
          <t>Débito</t>
        </is>
      </c>
      <c r="G693" s="3" t="inlineStr">
        <is>
          <t>Software / Licença de Uso</t>
        </is>
      </c>
      <c r="H693" s="3" t="inlineStr">
        <is>
          <t>2025-09</t>
        </is>
      </c>
      <c r="I693" s="3" t="n"/>
      <c r="J693" s="3" t="n"/>
    </row>
    <row r="694">
      <c r="A694" s="6" t="n">
        <v>45932</v>
      </c>
      <c r="B694" s="3" t="inlineStr">
        <is>
          <t>Other Taxes</t>
        </is>
      </c>
      <c r="C694" s="3" t="n"/>
      <c r="D694" s="3" t="inlineStr">
        <is>
          <t>SLACK T018U5Y5UTC</t>
        </is>
      </c>
      <c r="E694" s="3" t="n">
        <v>-2.08</v>
      </c>
      <c r="F694" s="3" t="inlineStr">
        <is>
          <t>Débito</t>
        </is>
      </c>
      <c r="G694" s="3" t="inlineStr">
        <is>
          <t>IOF</t>
        </is>
      </c>
      <c r="H694" s="3" t="inlineStr">
        <is>
          <t>2025-10</t>
        </is>
      </c>
      <c r="I694" s="3" t="n"/>
      <c r="J694" s="3" t="n"/>
    </row>
    <row r="695">
      <c r="A695" s="6" t="n">
        <v>45927</v>
      </c>
      <c r="B695" s="3" t="inlineStr">
        <is>
          <t>Tech Support &amp; Services</t>
        </is>
      </c>
      <c r="C695" s="3" t="n"/>
      <c r="D695" s="3" t="inlineStr">
        <is>
          <t>OPENAI *CHATGPT SUBSCR</t>
        </is>
      </c>
      <c r="E695" s="3" t="n">
        <v>-110.58</v>
      </c>
      <c r="F695" s="3" t="inlineStr">
        <is>
          <t>Débito</t>
        </is>
      </c>
      <c r="G695" s="3" t="inlineStr">
        <is>
          <t>Software / Licença de Uso</t>
        </is>
      </c>
      <c r="H695" s="3" t="inlineStr">
        <is>
          <t>2025-09</t>
        </is>
      </c>
      <c r="I695" s="3" t="n"/>
      <c r="J695" s="3" t="n"/>
    </row>
    <row r="696">
      <c r="A696" s="6" t="n">
        <v>45932</v>
      </c>
      <c r="B696" s="3" t="inlineStr">
        <is>
          <t>Tech Support &amp; Services</t>
        </is>
      </c>
      <c r="C696" s="3" t="n"/>
      <c r="D696" s="3" t="inlineStr">
        <is>
          <t>SLACK T018U5Y5UTC</t>
        </is>
      </c>
      <c r="E696" s="3" t="n">
        <v>-59.47</v>
      </c>
      <c r="F696" s="3" t="inlineStr">
        <is>
          <t>Débito</t>
        </is>
      </c>
      <c r="G696" s="3" t="inlineStr">
        <is>
          <t>Software / Licença de Uso</t>
        </is>
      </c>
      <c r="H696" s="3" t="inlineStr">
        <is>
          <t>2025-10</t>
        </is>
      </c>
      <c r="I696" s="3" t="n"/>
      <c r="J696" s="3" t="n"/>
    </row>
    <row r="697">
      <c r="A697" s="6" t="n">
        <v>45936</v>
      </c>
      <c r="B697" s="3" t="inlineStr">
        <is>
          <t>Other Taxes</t>
        </is>
      </c>
      <c r="C697" s="3" t="n"/>
      <c r="D697" s="3" t="inlineStr">
        <is>
          <t>SOKO MEDIA</t>
        </is>
      </c>
      <c r="E697" s="3" t="n">
        <v>-38.56</v>
      </c>
      <c r="F697" s="3" t="inlineStr">
        <is>
          <t>Débito</t>
        </is>
      </c>
      <c r="G697" s="3" t="inlineStr">
        <is>
          <t>IOF</t>
        </is>
      </c>
      <c r="H697" s="3" t="inlineStr">
        <is>
          <t>2025-10</t>
        </is>
      </c>
      <c r="I697" s="3" t="n"/>
      <c r="J697" s="3" t="n"/>
    </row>
    <row r="698">
      <c r="A698" s="6" t="n">
        <v>45936</v>
      </c>
      <c r="B698" s="3" t="inlineStr">
        <is>
          <t>Tech Support &amp; Services</t>
        </is>
      </c>
      <c r="C698" s="3" t="n"/>
      <c r="D698" s="3" t="inlineStr">
        <is>
          <t>SOKO MEDIA</t>
        </is>
      </c>
      <c r="E698" s="3" t="n">
        <v>-1101.74</v>
      </c>
      <c r="F698" s="3" t="inlineStr">
        <is>
          <t>Débito</t>
        </is>
      </c>
      <c r="G698" s="3" t="inlineStr">
        <is>
          <t>Software / Licença de Uso</t>
        </is>
      </c>
      <c r="H698" s="3" t="inlineStr">
        <is>
          <t>2025-10</t>
        </is>
      </c>
      <c r="I698" s="3" t="n"/>
      <c r="J698" s="3" t="n"/>
    </row>
    <row r="699">
      <c r="A699" s="6" t="n">
        <v>45925</v>
      </c>
      <c r="B699" s="3" t="inlineStr">
        <is>
          <t>Other Taxes</t>
        </is>
      </c>
      <c r="C699" s="3" t="n"/>
      <c r="D699" s="3" t="inlineStr">
        <is>
          <t>SOLARWINDS</t>
        </is>
      </c>
      <c r="E699" s="3" t="n">
        <v>-2.69</v>
      </c>
      <c r="F699" s="3" t="inlineStr">
        <is>
          <t>Débito</t>
        </is>
      </c>
      <c r="G699" s="3" t="inlineStr">
        <is>
          <t>IOF</t>
        </is>
      </c>
      <c r="H699" s="3" t="inlineStr">
        <is>
          <t>2025-09</t>
        </is>
      </c>
      <c r="I699" s="3" t="n"/>
      <c r="J699" s="3" t="n"/>
    </row>
    <row r="700">
      <c r="A700" s="6" t="n">
        <v>45925</v>
      </c>
      <c r="B700" s="3" t="inlineStr">
        <is>
          <t>Web Services Expenses</t>
        </is>
      </c>
      <c r="C700" s="3" t="n"/>
      <c r="D700" s="3" t="inlineStr">
        <is>
          <t>SOLARWINDS</t>
        </is>
      </c>
      <c r="E700" s="3" t="n">
        <v>-76.95</v>
      </c>
      <c r="F700" s="3" t="inlineStr">
        <is>
          <t>Débito</t>
        </is>
      </c>
      <c r="G700" s="3" t="inlineStr">
        <is>
          <t>Software / Licença de Uso</t>
        </is>
      </c>
      <c r="H700" s="3" t="inlineStr">
        <is>
          <t>2025-09</t>
        </is>
      </c>
      <c r="I700" s="3" t="n"/>
      <c r="J700" s="3" t="n"/>
    </row>
    <row r="701">
      <c r="A701" s="6" t="n">
        <v>45908</v>
      </c>
      <c r="B701" s="3" t="inlineStr">
        <is>
          <t>Other Taxes</t>
        </is>
      </c>
      <c r="C701" s="3" t="n"/>
      <c r="D701" s="3" t="inlineStr">
        <is>
          <t>SQSP* WORKSP#199720171</t>
        </is>
      </c>
      <c r="E701" s="3" t="n">
        <v>-3.56</v>
      </c>
      <c r="F701" s="3" t="inlineStr">
        <is>
          <t>Débito</t>
        </is>
      </c>
      <c r="G701" s="3" t="inlineStr">
        <is>
          <t>IOF</t>
        </is>
      </c>
      <c r="H701" s="3" t="inlineStr">
        <is>
          <t>2025-09</t>
        </is>
      </c>
      <c r="I701" s="3" t="n"/>
      <c r="J701" s="3" t="n"/>
    </row>
    <row r="702">
      <c r="A702" s="6" t="n">
        <v>45908</v>
      </c>
      <c r="B702" s="3" t="inlineStr">
        <is>
          <t>Tech Support &amp; Services</t>
        </is>
      </c>
      <c r="C702" s="3" t="n"/>
      <c r="D702" s="3" t="inlineStr">
        <is>
          <t>SQSP* WORKSP#199720171</t>
        </is>
      </c>
      <c r="E702" s="3" t="n">
        <v>-101.7</v>
      </c>
      <c r="F702" s="3" t="inlineStr">
        <is>
          <t>Débito</t>
        </is>
      </c>
      <c r="G702" s="3" t="inlineStr">
        <is>
          <t>Software / Licença de Uso</t>
        </is>
      </c>
      <c r="H702" s="3" t="inlineStr">
        <is>
          <t>2025-09</t>
        </is>
      </c>
      <c r="I702" s="3" t="n"/>
      <c r="J702" s="3" t="n"/>
    </row>
    <row r="703">
      <c r="A703" s="6" t="n">
        <v>45910</v>
      </c>
      <c r="B703" s="3" t="inlineStr">
        <is>
          <t>Tech Support &amp; Services</t>
        </is>
      </c>
      <c r="C703" s="3" t="n"/>
      <c r="D703" s="3" t="inlineStr">
        <is>
          <t>SUPERHUMAN</t>
        </is>
      </c>
      <c r="E703" s="3" t="n">
        <v>-224.69</v>
      </c>
      <c r="F703" s="3" t="inlineStr">
        <is>
          <t>Débito</t>
        </is>
      </c>
      <c r="G703" s="3" t="inlineStr">
        <is>
          <t>Software / Licença de Uso</t>
        </is>
      </c>
      <c r="H703" s="3" t="inlineStr">
        <is>
          <t>2025-09</t>
        </is>
      </c>
      <c r="I703" s="3" t="n"/>
      <c r="J703" s="3" t="n"/>
    </row>
    <row r="704">
      <c r="A704" s="6" t="n">
        <v>45910</v>
      </c>
      <c r="B704" s="3" t="inlineStr">
        <is>
          <t>Other Taxes</t>
        </is>
      </c>
      <c r="C704" s="3" t="n"/>
      <c r="D704" s="3" t="inlineStr">
        <is>
          <t>SUPERHUMAN</t>
        </is>
      </c>
      <c r="E704" s="3" t="n">
        <v>-7.86</v>
      </c>
      <c r="F704" s="3" t="inlineStr">
        <is>
          <t>Débito</t>
        </is>
      </c>
      <c r="G704" s="3" t="inlineStr">
        <is>
          <t>IOF</t>
        </is>
      </c>
      <c r="H704" s="3" t="inlineStr">
        <is>
          <t>2025-09</t>
        </is>
      </c>
      <c r="I704" s="3" t="n"/>
      <c r="J704" s="3" t="n"/>
    </row>
    <row r="705">
      <c r="A705" s="6" t="n">
        <v>45931</v>
      </c>
      <c r="B705" s="3" t="inlineStr">
        <is>
          <t>Other Taxes</t>
        </is>
      </c>
      <c r="C705" s="3" t="n"/>
      <c r="D705" s="3" t="inlineStr">
        <is>
          <t>TYPEFORM, S.L.</t>
        </is>
      </c>
      <c r="E705" s="3" t="n">
        <v>-19.07</v>
      </c>
      <c r="F705" s="3" t="inlineStr">
        <is>
          <t>Débito</t>
        </is>
      </c>
      <c r="G705" s="3" t="inlineStr">
        <is>
          <t>IOF</t>
        </is>
      </c>
      <c r="H705" s="3" t="inlineStr">
        <is>
          <t>2025-10</t>
        </is>
      </c>
      <c r="I705" s="3" t="n"/>
      <c r="J705" s="3" t="n"/>
    </row>
    <row r="706">
      <c r="A706" s="6" t="n">
        <v>45931</v>
      </c>
      <c r="B706" s="3" t="inlineStr">
        <is>
          <t>Tech Support &amp; Services</t>
        </is>
      </c>
      <c r="C706" s="3" t="n"/>
      <c r="D706" s="3" t="inlineStr">
        <is>
          <t>TYPEFORM, S.L.</t>
        </is>
      </c>
      <c r="E706" s="3" t="n">
        <v>-544.91</v>
      </c>
      <c r="F706" s="3" t="inlineStr">
        <is>
          <t>Débito</t>
        </is>
      </c>
      <c r="G706" s="3" t="inlineStr">
        <is>
          <t>Software / Licença de Uso</t>
        </is>
      </c>
      <c r="H706" s="3" t="inlineStr">
        <is>
          <t>2025-10</t>
        </is>
      </c>
      <c r="I706" s="3" t="n"/>
      <c r="J706" s="3" t="n"/>
    </row>
    <row r="707">
      <c r="A707" s="6" t="n">
        <v>45909</v>
      </c>
      <c r="B707" s="3" t="inlineStr">
        <is>
          <t>Other Expenses</t>
        </is>
      </c>
      <c r="C707" s="3" t="n"/>
      <c r="D707" s="3" t="inlineStr">
        <is>
          <t>UBER * PENDING</t>
        </is>
      </c>
      <c r="E707" s="3" t="n">
        <v>-5.25</v>
      </c>
      <c r="F707" s="3" t="inlineStr">
        <is>
          <t>Débito</t>
        </is>
      </c>
      <c r="G707" s="3" t="inlineStr">
        <is>
          <t>Transporte Urbano (táxi, Uber)</t>
        </is>
      </c>
      <c r="H707" s="3" t="inlineStr">
        <is>
          <t>2025-09</t>
        </is>
      </c>
      <c r="I707" s="3" t="n"/>
      <c r="J707" s="3" t="n"/>
    </row>
    <row r="708">
      <c r="A708" s="6" t="n">
        <v>45908</v>
      </c>
      <c r="B708" s="3" t="inlineStr">
        <is>
          <t>Other Expenses</t>
        </is>
      </c>
      <c r="C708" s="3" t="n"/>
      <c r="D708" s="3" t="inlineStr">
        <is>
          <t>UBER * PENDING</t>
        </is>
      </c>
      <c r="E708" s="3" t="n">
        <v>-10.97</v>
      </c>
      <c r="F708" s="3" t="inlineStr">
        <is>
          <t>Débito</t>
        </is>
      </c>
      <c r="G708" s="3" t="inlineStr">
        <is>
          <t>Transporte Urbano (táxi, Uber)</t>
        </is>
      </c>
      <c r="H708" s="3" t="inlineStr">
        <is>
          <t>2025-09</t>
        </is>
      </c>
      <c r="I708" s="3" t="n"/>
      <c r="J708" s="3" t="n"/>
    </row>
    <row r="709">
      <c r="A709" s="6" t="n">
        <v>45909</v>
      </c>
      <c r="B709" s="3" t="inlineStr">
        <is>
          <t>Other Expenses</t>
        </is>
      </c>
      <c r="C709" s="3" t="n"/>
      <c r="D709" s="3" t="inlineStr">
        <is>
          <t>UBER * PENDING</t>
        </is>
      </c>
      <c r="E709" s="3" t="n">
        <v>-27.89</v>
      </c>
      <c r="F709" s="3" t="inlineStr">
        <is>
          <t>Débito</t>
        </is>
      </c>
      <c r="G709" s="3" t="inlineStr">
        <is>
          <t>Transporte Urbano (táxi, Uber)</t>
        </is>
      </c>
      <c r="H709" s="3" t="inlineStr">
        <is>
          <t>2025-09</t>
        </is>
      </c>
      <c r="I709" s="3" t="n"/>
      <c r="J709" s="3" t="n"/>
    </row>
    <row r="710">
      <c r="A710" s="6" t="n">
        <v>45909</v>
      </c>
      <c r="B710" s="3" t="inlineStr">
        <is>
          <t>Other Expenses</t>
        </is>
      </c>
      <c r="C710" s="3" t="n"/>
      <c r="D710" s="3" t="inlineStr">
        <is>
          <t>UBER * PENDING</t>
        </is>
      </c>
      <c r="E710" s="3" t="n">
        <v>-16.96</v>
      </c>
      <c r="F710" s="3" t="inlineStr">
        <is>
          <t>Débito</t>
        </is>
      </c>
      <c r="G710" s="3" t="inlineStr">
        <is>
          <t>Transporte Urbano (táxi, Uber)</t>
        </is>
      </c>
      <c r="H710" s="3" t="inlineStr">
        <is>
          <t>2025-09</t>
        </is>
      </c>
      <c r="I710" s="3" t="n"/>
      <c r="J710" s="3" t="n"/>
    </row>
    <row r="711">
      <c r="A711" s="6" t="n">
        <v>45910</v>
      </c>
      <c r="B711" s="3" t="inlineStr">
        <is>
          <t>Other Expenses</t>
        </is>
      </c>
      <c r="C711" s="3" t="n"/>
      <c r="D711" s="3" t="inlineStr">
        <is>
          <t>UBER * PENDING</t>
        </is>
      </c>
      <c r="E711" s="3" t="n">
        <v>-45.86</v>
      </c>
      <c r="F711" s="3" t="inlineStr">
        <is>
          <t>Débito</t>
        </is>
      </c>
      <c r="G711" s="3" t="inlineStr">
        <is>
          <t>Transporte Urbano (táxi, Uber)</t>
        </is>
      </c>
      <c r="H711" s="3" t="inlineStr">
        <is>
          <t>2025-09</t>
        </is>
      </c>
      <c r="I711" s="3" t="n"/>
      <c r="J711" s="3" t="n"/>
    </row>
    <row r="712">
      <c r="A712" s="6" t="n">
        <v>45910</v>
      </c>
      <c r="B712" s="3" t="inlineStr">
        <is>
          <t>Other Expenses</t>
        </is>
      </c>
      <c r="C712" s="3" t="n"/>
      <c r="D712" s="3" t="inlineStr">
        <is>
          <t>UBER * PENDING</t>
        </is>
      </c>
      <c r="E712" s="3" t="n">
        <v>-18.66</v>
      </c>
      <c r="F712" s="3" t="inlineStr">
        <is>
          <t>Débito</t>
        </is>
      </c>
      <c r="G712" s="3" t="inlineStr">
        <is>
          <t>Transporte Urbano (táxi, Uber)</t>
        </is>
      </c>
      <c r="H712" s="3" t="inlineStr">
        <is>
          <t>2025-09</t>
        </is>
      </c>
      <c r="I712" s="3" t="n"/>
      <c r="J712" s="3" t="n"/>
    </row>
    <row r="713">
      <c r="A713" s="6" t="n">
        <v>45910</v>
      </c>
      <c r="B713" s="3" t="inlineStr">
        <is>
          <t>Other Expenses</t>
        </is>
      </c>
      <c r="C713" s="3" t="n"/>
      <c r="D713" s="3" t="inlineStr">
        <is>
          <t>UBER * PENDING</t>
        </is>
      </c>
      <c r="E713" s="3" t="n">
        <v>-31.54</v>
      </c>
      <c r="F713" s="3" t="inlineStr">
        <is>
          <t>Débito</t>
        </is>
      </c>
      <c r="G713" s="3" t="inlineStr">
        <is>
          <t>Transporte Urbano (táxi, Uber)</t>
        </is>
      </c>
      <c r="H713" s="3" t="inlineStr">
        <is>
          <t>2025-09</t>
        </is>
      </c>
      <c r="I713" s="3" t="n"/>
      <c r="J713" s="3" t="n"/>
    </row>
    <row r="714">
      <c r="A714" s="6" t="n">
        <v>45926</v>
      </c>
      <c r="B714" s="3" t="inlineStr">
        <is>
          <t>Other Expenses</t>
        </is>
      </c>
      <c r="C714" s="3" t="n"/>
      <c r="D714" s="3" t="inlineStr">
        <is>
          <t>UBER * PENDING</t>
        </is>
      </c>
      <c r="E714" s="3" t="n">
        <v>-8.59</v>
      </c>
      <c r="F714" s="3" t="inlineStr">
        <is>
          <t>Débito</t>
        </is>
      </c>
      <c r="G714" s="3" t="inlineStr">
        <is>
          <t>Transporte Urbano (táxi, Uber)</t>
        </is>
      </c>
      <c r="H714" s="3" t="inlineStr">
        <is>
          <t>2025-09</t>
        </is>
      </c>
      <c r="I714" s="3" t="n"/>
      <c r="J714" s="3" t="n"/>
    </row>
    <row r="715">
      <c r="A715" s="6" t="n">
        <v>45908</v>
      </c>
      <c r="B715" s="3" t="inlineStr">
        <is>
          <t>Other Expenses</t>
        </is>
      </c>
      <c r="C715" s="3" t="n"/>
      <c r="D715" s="3" t="inlineStr">
        <is>
          <t>UBER *TRIP HELP.UBER.COM</t>
        </is>
      </c>
      <c r="E715" s="3" t="n">
        <v>-142.81</v>
      </c>
      <c r="F715" s="3" t="inlineStr">
        <is>
          <t>Débito</t>
        </is>
      </c>
      <c r="G715" s="3" t="inlineStr">
        <is>
          <t>Transporte Urbano (táxi, Uber)</t>
        </is>
      </c>
      <c r="H715" s="3" t="inlineStr">
        <is>
          <t>2025-09</t>
        </is>
      </c>
      <c r="I715" s="3" t="n"/>
      <c r="J715" s="3" t="n"/>
    </row>
    <row r="716">
      <c r="A716" s="6" t="n">
        <v>45911</v>
      </c>
      <c r="B716" s="3" t="inlineStr">
        <is>
          <t>Other Expenses</t>
        </is>
      </c>
      <c r="C716" s="3" t="n"/>
      <c r="D716" s="3" t="inlineStr">
        <is>
          <t>UBER *TRIP HELP.UBER.COM</t>
        </is>
      </c>
      <c r="E716" s="3" t="n">
        <v>-33.39</v>
      </c>
      <c r="F716" s="3" t="inlineStr">
        <is>
          <t>Débito</t>
        </is>
      </c>
      <c r="G716" s="3" t="inlineStr">
        <is>
          <t>Transporte Urbano (táxi, Uber)</t>
        </is>
      </c>
      <c r="H716" s="3" t="inlineStr">
        <is>
          <t>2025-09</t>
        </is>
      </c>
      <c r="I716" s="3" t="n"/>
      <c r="J716" s="3" t="n"/>
    </row>
    <row r="717">
      <c r="A717" s="6" t="n">
        <v>45911</v>
      </c>
      <c r="B717" s="3" t="inlineStr">
        <is>
          <t>Other Expenses</t>
        </is>
      </c>
      <c r="C717" s="3" t="n"/>
      <c r="D717" s="3" t="inlineStr">
        <is>
          <t>UBER *TRIP HELP.UBER.COM</t>
        </is>
      </c>
      <c r="E717" s="3" t="n">
        <v>-26.83</v>
      </c>
      <c r="F717" s="3" t="inlineStr">
        <is>
          <t>Débito</t>
        </is>
      </c>
      <c r="G717" s="3" t="inlineStr">
        <is>
          <t>Transporte Urbano (táxi, Uber)</t>
        </is>
      </c>
      <c r="H717" s="3" t="inlineStr">
        <is>
          <t>2025-09</t>
        </is>
      </c>
      <c r="I717" s="3" t="n"/>
      <c r="J717" s="3" t="n"/>
    </row>
    <row r="718">
      <c r="A718" s="6" t="n">
        <v>45912</v>
      </c>
      <c r="B718" s="3" t="inlineStr">
        <is>
          <t>Other Expenses</t>
        </is>
      </c>
      <c r="C718" s="3" t="n"/>
      <c r="D718" s="3" t="inlineStr">
        <is>
          <t>UBER *TRIP HELP.UBER.COM</t>
        </is>
      </c>
      <c r="E718" s="3" t="n">
        <v>-26.05</v>
      </c>
      <c r="F718" s="3" t="inlineStr">
        <is>
          <t>Débito</t>
        </is>
      </c>
      <c r="G718" s="3" t="inlineStr">
        <is>
          <t>Transporte Urbano (táxi, Uber)</t>
        </is>
      </c>
      <c r="H718" s="3" t="inlineStr">
        <is>
          <t>2025-09</t>
        </is>
      </c>
      <c r="I718" s="3" t="n"/>
      <c r="J718" s="3" t="n"/>
    </row>
    <row r="719">
      <c r="A719" s="6" t="n">
        <v>45912</v>
      </c>
      <c r="B719" s="3" t="inlineStr">
        <is>
          <t>Other Expenses</t>
        </is>
      </c>
      <c r="C719" s="3" t="n"/>
      <c r="D719" s="3" t="inlineStr">
        <is>
          <t>UBER* PENDING</t>
        </is>
      </c>
      <c r="E719" s="3" t="n">
        <v>-42.92</v>
      </c>
      <c r="F719" s="3" t="inlineStr">
        <is>
          <t>Débito</t>
        </is>
      </c>
      <c r="G719" s="3" t="inlineStr">
        <is>
          <t>Transporte Urbano (táxi, Uber)</t>
        </is>
      </c>
      <c r="H719" s="3" t="inlineStr">
        <is>
          <t>2025-09</t>
        </is>
      </c>
      <c r="I719" s="3" t="n"/>
      <c r="J719" s="3" t="n"/>
    </row>
    <row r="720">
      <c r="A720" s="6" t="n">
        <v>45924</v>
      </c>
      <c r="B720" s="3" t="inlineStr">
        <is>
          <t>Other Expenses</t>
        </is>
      </c>
      <c r="C720" s="3" t="n"/>
      <c r="D720" s="3" t="inlineStr">
        <is>
          <t>UBER* PENDING</t>
        </is>
      </c>
      <c r="E720" s="3" t="n">
        <v>-11.95</v>
      </c>
      <c r="F720" s="3" t="inlineStr">
        <is>
          <t>Débito</t>
        </is>
      </c>
      <c r="G720" s="3" t="inlineStr">
        <is>
          <t>Transporte Urbano (táxi, Uber)</t>
        </is>
      </c>
      <c r="H720" s="3" t="inlineStr">
        <is>
          <t>2025-09</t>
        </is>
      </c>
      <c r="I720" s="3" t="n"/>
      <c r="J720" s="3" t="n"/>
    </row>
    <row r="721">
      <c r="A721" s="6" t="n">
        <v>45925</v>
      </c>
      <c r="B721" s="3" t="inlineStr">
        <is>
          <t>Other Expenses</t>
        </is>
      </c>
      <c r="C721" s="3" t="n"/>
      <c r="D721" s="3" t="inlineStr">
        <is>
          <t>UBER* PENDING</t>
        </is>
      </c>
      <c r="E721" s="3" t="n">
        <v>-11.91</v>
      </c>
      <c r="F721" s="3" t="inlineStr">
        <is>
          <t>Débito</t>
        </is>
      </c>
      <c r="G721" s="3" t="inlineStr">
        <is>
          <t>Transporte Urbano (táxi, Uber)</t>
        </is>
      </c>
      <c r="H721" s="3" t="inlineStr">
        <is>
          <t>2025-09</t>
        </is>
      </c>
      <c r="I721" s="3" t="n"/>
      <c r="J721" s="3" t="n"/>
    </row>
    <row r="722">
      <c r="A722" s="6" t="n">
        <v>45926</v>
      </c>
      <c r="B722" s="3" t="inlineStr">
        <is>
          <t>Other Expenses</t>
        </is>
      </c>
      <c r="C722" s="3" t="n"/>
      <c r="D722" s="3" t="inlineStr">
        <is>
          <t>UBER* PENDING</t>
        </is>
      </c>
      <c r="E722" s="3" t="n">
        <v>-14.92</v>
      </c>
      <c r="F722" s="3" t="inlineStr">
        <is>
          <t>Débito</t>
        </is>
      </c>
      <c r="G722" s="3" t="inlineStr">
        <is>
          <t>Transporte Urbano (táxi, Uber)</t>
        </is>
      </c>
      <c r="H722" s="3" t="inlineStr">
        <is>
          <t>2025-09</t>
        </is>
      </c>
      <c r="I722" s="3" t="n"/>
      <c r="J722" s="3" t="n"/>
    </row>
    <row r="723">
      <c r="A723" s="6" t="n">
        <v>45908</v>
      </c>
      <c r="B723" s="3" t="inlineStr">
        <is>
          <t>Other Expenses</t>
        </is>
      </c>
      <c r="C723" s="3" t="n"/>
      <c r="D723" s="3" t="inlineStr">
        <is>
          <t>UBER* TRIP</t>
        </is>
      </c>
      <c r="E723" s="3" t="n">
        <v>-112.56</v>
      </c>
      <c r="F723" s="3" t="inlineStr">
        <is>
          <t>Débito</t>
        </is>
      </c>
      <c r="G723" s="3" t="inlineStr">
        <is>
          <t>Transporte Urbano (táxi, Uber)</t>
        </is>
      </c>
      <c r="H723" s="3" t="inlineStr">
        <is>
          <t>2025-09</t>
        </is>
      </c>
      <c r="I723" s="3" t="n"/>
      <c r="J723" s="3" t="n"/>
    </row>
    <row r="724">
      <c r="A724" s="6" t="n">
        <v>45911</v>
      </c>
      <c r="B724" s="3" t="inlineStr">
        <is>
          <t>Other Expenses</t>
        </is>
      </c>
      <c r="C724" s="3" t="n"/>
      <c r="D724" s="3" t="inlineStr">
        <is>
          <t>UBER* TRIP</t>
        </is>
      </c>
      <c r="E724" s="3" t="n">
        <v>-5.25</v>
      </c>
      <c r="F724" s="3" t="inlineStr">
        <is>
          <t>Débito</t>
        </is>
      </c>
      <c r="G724" s="3" t="inlineStr">
        <is>
          <t>Transporte Urbano (táxi, Uber)</t>
        </is>
      </c>
      <c r="H724" s="3" t="inlineStr">
        <is>
          <t>2025-09</t>
        </is>
      </c>
      <c r="I724" s="3" t="n"/>
      <c r="J724" s="3" t="n"/>
    </row>
    <row r="725">
      <c r="A725" s="6" t="n">
        <v>45926</v>
      </c>
      <c r="B725" s="3" t="inlineStr">
        <is>
          <t>Other Expenses</t>
        </is>
      </c>
      <c r="C725" s="3" t="n"/>
      <c r="D725" s="3" t="inlineStr">
        <is>
          <t>UBER* TRIP</t>
        </is>
      </c>
      <c r="E725" s="3" t="n">
        <v>-19.49</v>
      </c>
      <c r="F725" s="3" t="inlineStr">
        <is>
          <t>Débito</t>
        </is>
      </c>
      <c r="G725" s="3" t="inlineStr">
        <is>
          <t>Transporte Urbano (táxi, Uber)</t>
        </is>
      </c>
      <c r="H725" s="3" t="inlineStr">
        <is>
          <t>2025-09</t>
        </is>
      </c>
      <c r="I725" s="3" t="n"/>
      <c r="J725" s="3" t="n"/>
    </row>
    <row r="726">
      <c r="A726" s="6" t="n">
        <v>45924</v>
      </c>
      <c r="B726" s="3" t="inlineStr">
        <is>
          <t>Other Taxes</t>
        </is>
      </c>
      <c r="C726" s="3" t="n"/>
      <c r="D726" s="3" t="inlineStr">
        <is>
          <t>US MOBILE</t>
        </is>
      </c>
      <c r="E726" s="3" t="n">
        <v>-8.460000000000001</v>
      </c>
      <c r="F726" s="3" t="inlineStr">
        <is>
          <t>Débito</t>
        </is>
      </c>
      <c r="G726" s="3" t="inlineStr">
        <is>
          <t>IOF</t>
        </is>
      </c>
      <c r="H726" s="3" t="inlineStr">
        <is>
          <t>2025-09</t>
        </is>
      </c>
      <c r="I726" s="3" t="n"/>
      <c r="J726" s="3" t="n"/>
    </row>
    <row r="727">
      <c r="A727" s="6" t="n">
        <v>45924</v>
      </c>
      <c r="B727" s="3" t="inlineStr">
        <is>
          <t>Other Expenses</t>
        </is>
      </c>
      <c r="C727" s="3" t="n"/>
      <c r="D727" s="3" t="inlineStr">
        <is>
          <t>UBER* TRIP</t>
        </is>
      </c>
      <c r="E727" s="3" t="n">
        <v>-23.42</v>
      </c>
      <c r="F727" s="3" t="inlineStr">
        <is>
          <t>Débito</t>
        </is>
      </c>
      <c r="G727" s="3" t="inlineStr">
        <is>
          <t>Transporte Urbano (táxi, Uber)</t>
        </is>
      </c>
      <c r="H727" s="3" t="inlineStr">
        <is>
          <t>2025-09</t>
        </is>
      </c>
      <c r="I727" s="3" t="n"/>
      <c r="J727" s="3" t="n"/>
    </row>
    <row r="728">
      <c r="A728" s="6" t="n">
        <v>45924</v>
      </c>
      <c r="B728" s="3" t="inlineStr">
        <is>
          <t>Other Expenses</t>
        </is>
      </c>
      <c r="C728" s="3" t="n"/>
      <c r="D728" s="3" t="inlineStr">
        <is>
          <t>US MOBILE</t>
        </is>
      </c>
      <c r="E728" s="3" t="n">
        <v>-241.62</v>
      </c>
      <c r="F728" s="3" t="inlineStr">
        <is>
          <t>Débito</t>
        </is>
      </c>
      <c r="G728" s="3" t="inlineStr">
        <is>
          <t>Transporte Urbano (táxi, Uber)</t>
        </is>
      </c>
      <c r="H728" s="3" t="inlineStr">
        <is>
          <t>2025-09</t>
        </is>
      </c>
      <c r="I728" s="3" t="n"/>
      <c r="J728" s="3" t="n"/>
    </row>
    <row r="729">
      <c r="A729" s="6" t="n">
        <v>45925</v>
      </c>
      <c r="B729" s="3" t="inlineStr">
        <is>
          <t>Other Expenses</t>
        </is>
      </c>
      <c r="C729" s="3" t="n"/>
      <c r="D729" s="3" t="inlineStr">
        <is>
          <t>UBER* TRIP</t>
        </is>
      </c>
      <c r="E729" s="3" t="n">
        <v>-14.87</v>
      </c>
      <c r="F729" s="3" t="inlineStr">
        <is>
          <t>Débito</t>
        </is>
      </c>
      <c r="G729" s="3" t="inlineStr">
        <is>
          <t>Transporte Urbano (táxi, Uber)</t>
        </is>
      </c>
      <c r="H729" s="3" t="inlineStr">
        <is>
          <t>2025-09</t>
        </is>
      </c>
      <c r="I729" s="3" t="n"/>
      <c r="J729" s="3" t="n"/>
    </row>
    <row r="730">
      <c r="A730" s="6" t="n">
        <v>45913</v>
      </c>
      <c r="B730" s="3" t="inlineStr">
        <is>
          <t>Other Taxes</t>
        </is>
      </c>
      <c r="C730" s="3" t="n"/>
      <c r="D730" s="3" t="inlineStr">
        <is>
          <t>VERCEL INC.</t>
        </is>
      </c>
      <c r="E730" s="3" t="n">
        <v>-3.9</v>
      </c>
      <c r="F730" s="3" t="inlineStr">
        <is>
          <t>Débito</t>
        </is>
      </c>
      <c r="G730" s="3" t="inlineStr">
        <is>
          <t>IOF</t>
        </is>
      </c>
      <c r="H730" s="3" t="inlineStr">
        <is>
          <t>2025-09</t>
        </is>
      </c>
      <c r="I730" s="3" t="n"/>
      <c r="J730" s="3" t="n"/>
    </row>
    <row r="731">
      <c r="A731" s="6" t="n">
        <v>45924</v>
      </c>
      <c r="B731" s="3" t="inlineStr">
        <is>
          <t>Other Expenses</t>
        </is>
      </c>
      <c r="C731" s="3" t="n"/>
      <c r="D731" s="3" t="inlineStr">
        <is>
          <t>UBER* TRIP</t>
        </is>
      </c>
      <c r="E731" s="3" t="n">
        <v>-5.25</v>
      </c>
      <c r="F731" s="3" t="inlineStr">
        <is>
          <t>Débito</t>
        </is>
      </c>
      <c r="G731" s="3" t="inlineStr">
        <is>
          <t>Transporte Urbano (táxi, Uber)</t>
        </is>
      </c>
      <c r="H731" s="3" t="inlineStr">
        <is>
          <t>2025-09</t>
        </is>
      </c>
      <c r="I731" s="3" t="n"/>
      <c r="J731" s="3" t="n"/>
    </row>
    <row r="732">
      <c r="A732" s="6" t="n">
        <v>45913</v>
      </c>
      <c r="B732" s="3" t="inlineStr">
        <is>
          <t>Tech Support &amp; Services</t>
        </is>
      </c>
      <c r="C732" s="3" t="n"/>
      <c r="D732" s="3" t="inlineStr">
        <is>
          <t>VERCEL INC.</t>
        </is>
      </c>
      <c r="E732" s="3" t="n">
        <v>-111.47</v>
      </c>
      <c r="F732" s="3" t="inlineStr">
        <is>
          <t>Débito</t>
        </is>
      </c>
      <c r="G732" s="3" t="inlineStr">
        <is>
          <t>Software / Licença de Uso</t>
        </is>
      </c>
      <c r="H732" s="3" t="inlineStr">
        <is>
          <t>2025-09</t>
        </is>
      </c>
      <c r="I732" s="3" t="n"/>
      <c r="J732" s="3" t="n"/>
    </row>
    <row r="733">
      <c r="A733" s="6" t="n">
        <v>45930</v>
      </c>
      <c r="B733" s="3" t="inlineStr">
        <is>
          <t>Other Taxes</t>
        </is>
      </c>
      <c r="C733" s="3" t="n"/>
      <c r="D733" s="3" t="inlineStr">
        <is>
          <t>VERCEL INC.</t>
        </is>
      </c>
      <c r="E733" s="3" t="n">
        <v>-3.86</v>
      </c>
      <c r="F733" s="3" t="inlineStr">
        <is>
          <t>Débito</t>
        </is>
      </c>
      <c r="G733" s="3" t="inlineStr">
        <is>
          <t>IOF</t>
        </is>
      </c>
      <c r="H733" s="3" t="inlineStr">
        <is>
          <t>2025-09</t>
        </is>
      </c>
      <c r="I733" s="3" t="n"/>
      <c r="J733" s="3" t="n"/>
    </row>
    <row r="734">
      <c r="A734" s="6" t="n">
        <v>45943</v>
      </c>
      <c r="B734" s="3" t="inlineStr">
        <is>
          <t>Other Expenses</t>
        </is>
      </c>
      <c r="C734" s="3" t="inlineStr">
        <is>
          <t>MARTINS DA COSTA &amp; CIA LTDA</t>
        </is>
      </c>
      <c r="D734" s="3" t="inlineStr">
        <is>
          <t>Compra de bolo - out/2025</t>
        </is>
      </c>
      <c r="E734" s="3" t="n">
        <v>-136.9</v>
      </c>
      <c r="F734" s="3" t="inlineStr">
        <is>
          <t>Débito</t>
        </is>
      </c>
      <c r="G734" s="3" t="inlineStr">
        <is>
          <t>Confraternizações</t>
        </is>
      </c>
      <c r="H734" s="3" t="inlineStr">
        <is>
          <t>2025-10</t>
        </is>
      </c>
      <c r="I734" s="3" t="n"/>
      <c r="J734" s="3" t="n"/>
    </row>
    <row r="735">
      <c r="A735" s="6" t="n">
        <v>45944</v>
      </c>
      <c r="B735" s="3" t="inlineStr">
        <is>
          <t>Rendimentos de Aplicações</t>
        </is>
      </c>
      <c r="C735" s="3" t="inlineStr">
        <is>
          <t>CONTA SIMPLES</t>
        </is>
      </c>
      <c r="D735" s="3" t="inlineStr">
        <is>
          <t>Rentabilidade CDI - Remuneração-Cta Pgto</t>
        </is>
      </c>
      <c r="E735" s="3" t="n">
        <v>14.44</v>
      </c>
      <c r="F735" s="3" t="inlineStr">
        <is>
          <t>Crédito</t>
        </is>
      </c>
      <c r="G735" s="3" t="inlineStr">
        <is>
          <t>Rendimentos de Aplicações</t>
        </is>
      </c>
      <c r="H735" s="3" t="inlineStr">
        <is>
          <t>2025-10</t>
        </is>
      </c>
      <c r="I735" s="3" t="n"/>
      <c r="J735" s="3" t="n"/>
    </row>
    <row r="736">
      <c r="A736" s="6" t="n">
        <v>45901</v>
      </c>
      <c r="B736" s="3" t="inlineStr">
        <is>
          <t>Wages Expenses</t>
        </is>
      </c>
      <c r="C736" s="3" t="inlineStr">
        <is>
          <t>VITORIA DE OLIVEIRA FERREIRA CORREA</t>
        </is>
      </c>
      <c r="D736" s="3" t="inlineStr">
        <is>
          <t>NF  07 - SERVIÇOS PRESTADOS</t>
        </is>
      </c>
      <c r="E736" s="3" t="n">
        <v>-12000</v>
      </c>
      <c r="F736" s="3" t="inlineStr">
        <is>
          <t>Débito</t>
        </is>
      </c>
      <c r="G736" s="3" t="inlineStr">
        <is>
          <t>Prestador de Serviço PJ (Com NF)</t>
        </is>
      </c>
      <c r="H736" s="3" t="inlineStr">
        <is>
          <t>2025-09</t>
        </is>
      </c>
      <c r="I736" s="3" t="n"/>
      <c r="J736" s="3" t="n"/>
    </row>
    <row r="737">
      <c r="A737" s="6" t="n">
        <v>45901</v>
      </c>
      <c r="B737" s="3" t="inlineStr">
        <is>
          <t>Marketing &amp; Growth Expenses</t>
        </is>
      </c>
      <c r="C737" s="3" t="inlineStr">
        <is>
          <t>MGA MARKETING LTDA</t>
        </is>
      </c>
      <c r="D737" s="3" t="inlineStr">
        <is>
          <t>NFS 00004620 - Marketing Direto - set/2025</t>
        </is>
      </c>
      <c r="E737" s="3" t="n">
        <v>-8500</v>
      </c>
      <c r="F737" s="3" t="inlineStr">
        <is>
          <t>Débito</t>
        </is>
      </c>
      <c r="G737" s="3" t="inlineStr">
        <is>
          <t>Marketing e Publicidade</t>
        </is>
      </c>
      <c r="H737" s="3" t="inlineStr">
        <is>
          <t>2025-09</t>
        </is>
      </c>
      <c r="I737" s="3" t="n"/>
      <c r="J737" s="3" t="n"/>
    </row>
    <row r="738">
      <c r="A738" s="6" t="n">
        <v>45901</v>
      </c>
      <c r="B738" s="3" t="inlineStr">
        <is>
          <t>Wages Expenses</t>
        </is>
      </c>
      <c r="C738" s="3" t="inlineStr">
        <is>
          <t>JONAS JERONIMO CHAVES DE SOUSA</t>
        </is>
      </c>
      <c r="D738" s="3" t="inlineStr">
        <is>
          <t>NF  13 - SERVIÇOS PRESTADOS</t>
        </is>
      </c>
      <c r="E738" s="3" t="n">
        <v>-8000</v>
      </c>
      <c r="F738" s="3" t="inlineStr">
        <is>
          <t>Débito</t>
        </is>
      </c>
      <c r="G738" s="3" t="inlineStr">
        <is>
          <t>Prestador de Serviço PJ (Com NF)</t>
        </is>
      </c>
      <c r="H738" s="3" t="inlineStr">
        <is>
          <t>2025-09</t>
        </is>
      </c>
      <c r="I738" s="3" t="n"/>
      <c r="J738" s="3" t="n"/>
    </row>
    <row r="739">
      <c r="A739" s="6" t="n">
        <v>45901</v>
      </c>
      <c r="B739" s="3" t="inlineStr">
        <is>
          <t>Wages Expenses</t>
        </is>
      </c>
      <c r="C739" s="3" t="inlineStr">
        <is>
          <t>MARCO ANTONIO PEREIRA DO ESPIRITO SANTO</t>
        </is>
      </c>
      <c r="D739" s="3" t="inlineStr">
        <is>
          <t>NF 24 - SERVIÇOS PRESTADOS</t>
        </is>
      </c>
      <c r="E739" s="3" t="n">
        <v>-4535.33</v>
      </c>
      <c r="F739" s="3" t="inlineStr">
        <is>
          <t>Débito</t>
        </is>
      </c>
      <c r="G739" s="3" t="inlineStr">
        <is>
          <t>Prestador de Serviço PJ (Com NF)</t>
        </is>
      </c>
      <c r="H739" s="3" t="inlineStr">
        <is>
          <t>2025-09</t>
        </is>
      </c>
      <c r="I739" s="3" t="n"/>
      <c r="J739" s="3" t="n"/>
    </row>
    <row r="740">
      <c r="A740" s="6" t="n">
        <v>45901</v>
      </c>
      <c r="B740" s="3" t="inlineStr">
        <is>
          <t>Wages Expenses</t>
        </is>
      </c>
      <c r="C740" s="3" t="inlineStr">
        <is>
          <t>BEATRIZ MATHIDIOS DE OLIVEIRA</t>
        </is>
      </c>
      <c r="D740" s="3" t="inlineStr">
        <is>
          <t>NF 09 - SERVIÇOS PRESTADOS</t>
        </is>
      </c>
      <c r="E740" s="3" t="n">
        <v>-4500</v>
      </c>
      <c r="F740" s="3" t="inlineStr">
        <is>
          <t>Débito</t>
        </is>
      </c>
      <c r="G740" s="3" t="inlineStr">
        <is>
          <t>Prestador de Serviço PJ (Com NF)</t>
        </is>
      </c>
      <c r="H740" s="3" t="inlineStr">
        <is>
          <t>2025-09</t>
        </is>
      </c>
      <c r="I740" s="3" t="n"/>
      <c r="J740" s="3" t="n"/>
    </row>
    <row r="741">
      <c r="A741" s="6" t="n">
        <v>45901</v>
      </c>
      <c r="B741" s="3" t="inlineStr">
        <is>
          <t>Wages Expenses</t>
        </is>
      </c>
      <c r="C741" s="3" t="inlineStr">
        <is>
          <t>MANASSES QUEIROZ SILVA</t>
        </is>
      </c>
      <c r="D741" s="3" t="inlineStr">
        <is>
          <t>NF  08 - SERVIÇOS PRESTADOS</t>
        </is>
      </c>
      <c r="E741" s="3" t="n">
        <v>-3202.61</v>
      </c>
      <c r="F741" s="3" t="inlineStr">
        <is>
          <t>Débito</t>
        </is>
      </c>
      <c r="G741" s="3" t="inlineStr">
        <is>
          <t>Prestador de Serviço PJ (Com NF)</t>
        </is>
      </c>
      <c r="H741" s="3" t="inlineStr">
        <is>
          <t>2025-09</t>
        </is>
      </c>
      <c r="I741" s="3" t="n"/>
      <c r="J741" s="3" t="n"/>
    </row>
    <row r="742">
      <c r="A742" s="6" t="n">
        <v>45901</v>
      </c>
      <c r="B742" s="3" t="inlineStr">
        <is>
          <t>Wages Expenses</t>
        </is>
      </c>
      <c r="C742" s="3" t="inlineStr">
        <is>
          <t>NUVATE (FILIPI RAFAEL)</t>
        </is>
      </c>
      <c r="D742" s="3" t="inlineStr">
        <is>
          <t>NF  15 - SERVIÇOS PRESTADOS</t>
        </is>
      </c>
      <c r="E742" s="3" t="n">
        <v>-9000</v>
      </c>
      <c r="F742" s="3" t="inlineStr">
        <is>
          <t>Débito</t>
        </is>
      </c>
      <c r="G742" s="3" t="inlineStr">
        <is>
          <t>Prestador de Serviço PJ (Com NF)</t>
        </is>
      </c>
      <c r="H742" s="3" t="inlineStr">
        <is>
          <t>2025-09</t>
        </is>
      </c>
      <c r="I742" s="3" t="n"/>
      <c r="J742" s="3" t="n"/>
    </row>
    <row r="743">
      <c r="A743" s="6" t="n">
        <v>45901</v>
      </c>
      <c r="B743" s="3" t="inlineStr">
        <is>
          <t>Wages Expenses</t>
        </is>
      </c>
      <c r="C743" s="3" t="inlineStr">
        <is>
          <t>GABRIEL CANTARIN SIMOES</t>
        </is>
      </c>
      <c r="D743" s="3" t="inlineStr">
        <is>
          <t>NF 03 - SERVIÇOS PRESTADOS</t>
        </is>
      </c>
      <c r="E743" s="3" t="n">
        <v>-20000</v>
      </c>
      <c r="F743" s="3" t="inlineStr">
        <is>
          <t>Débito</t>
        </is>
      </c>
      <c r="G743" s="3" t="inlineStr">
        <is>
          <t>Prestador de Serviço PJ (Com NF)</t>
        </is>
      </c>
      <c r="H743" s="3" t="inlineStr">
        <is>
          <t>2025-09</t>
        </is>
      </c>
      <c r="I743" s="3" t="n"/>
      <c r="J743" s="3" t="n"/>
    </row>
    <row r="744">
      <c r="A744" s="6" t="n">
        <v>45901</v>
      </c>
      <c r="B744" s="3" t="inlineStr">
        <is>
          <t>Wages Expenses</t>
        </is>
      </c>
      <c r="C744" s="3" t="inlineStr">
        <is>
          <t>PEDRO GERMANO</t>
        </is>
      </c>
      <c r="D744" s="3" t="inlineStr">
        <is>
          <t>NF 17 - Prestação de Serviços - set/2025</t>
        </is>
      </c>
      <c r="E744" s="3" t="n">
        <v>-5785.71</v>
      </c>
      <c r="F744" s="3" t="inlineStr">
        <is>
          <t>Débito</t>
        </is>
      </c>
      <c r="G744" s="3" t="inlineStr">
        <is>
          <t>Prestador de Serviço PJ (Com NF)</t>
        </is>
      </c>
      <c r="H744" s="3" t="inlineStr">
        <is>
          <t>2025-09</t>
        </is>
      </c>
      <c r="I744" s="3" t="n"/>
      <c r="J744" s="3" t="n"/>
    </row>
    <row r="745">
      <c r="A745" s="6" t="n">
        <v>45901</v>
      </c>
      <c r="B745" s="3" t="inlineStr">
        <is>
          <t>Wages Expenses</t>
        </is>
      </c>
      <c r="C745" s="3" t="inlineStr">
        <is>
          <t>Bruno Adami Serine</t>
        </is>
      </c>
      <c r="D745" s="3" t="inlineStr">
        <is>
          <t>ANTECIPAÇÃO DE LUCROS</t>
        </is>
      </c>
      <c r="E745" s="3" t="n">
        <v>-13743.32</v>
      </c>
      <c r="F745" s="3" t="inlineStr">
        <is>
          <t>Débito</t>
        </is>
      </c>
      <c r="G745" s="3" t="inlineStr">
        <is>
          <t>Antecipação de Lucros</t>
        </is>
      </c>
      <c r="H745" s="3" t="inlineStr">
        <is>
          <t>2025-09</t>
        </is>
      </c>
      <c r="I745" s="3" t="n"/>
      <c r="J745" s="3" t="n"/>
    </row>
    <row r="746">
      <c r="A746" s="6" t="n">
        <v>45901</v>
      </c>
      <c r="B746" s="3" t="inlineStr">
        <is>
          <t>Wages Expenses</t>
        </is>
      </c>
      <c r="C746" s="3" t="inlineStr">
        <is>
          <t>Bruno Adami Serine</t>
        </is>
      </c>
      <c r="D746" s="3" t="inlineStr">
        <is>
          <t xml:space="preserve">PRÓ LABORE </t>
        </is>
      </c>
      <c r="E746" s="3" t="n">
        <v>-1256.68</v>
      </c>
      <c r="F746" s="3" t="inlineStr">
        <is>
          <t>Débito</t>
        </is>
      </c>
      <c r="G746" s="3" t="inlineStr">
        <is>
          <t>Pró-labore</t>
        </is>
      </c>
      <c r="H746" s="3" t="inlineStr">
        <is>
          <t>2025-09</t>
        </is>
      </c>
      <c r="I746" s="3" t="n"/>
      <c r="J746" s="3" t="n"/>
    </row>
    <row r="747">
      <c r="A747" s="6" t="n">
        <v>45945</v>
      </c>
      <c r="B747" s="3" t="inlineStr">
        <is>
          <t>Rendimentos de Aplicações</t>
        </is>
      </c>
      <c r="C747" s="3" t="inlineStr">
        <is>
          <t>CONTA SIMPLES</t>
        </is>
      </c>
      <c r="D747" s="3" t="inlineStr">
        <is>
          <t>Rentabilidade CDI - Remuneração-Cta Pgto</t>
        </is>
      </c>
      <c r="E747" s="3" t="n">
        <v>14.42</v>
      </c>
      <c r="F747" s="3" t="inlineStr">
        <is>
          <t>Crédito</t>
        </is>
      </c>
      <c r="G747" s="3" t="inlineStr">
        <is>
          <t>Rendimentos de Aplicações</t>
        </is>
      </c>
      <c r="H747" s="3" t="inlineStr">
        <is>
          <t>2025-10</t>
        </is>
      </c>
      <c r="I747" s="3" t="n"/>
      <c r="J747" s="3" t="n"/>
    </row>
    <row r="748">
      <c r="A748" s="6" t="n">
        <v>45946</v>
      </c>
      <c r="B748" s="3" t="inlineStr">
        <is>
          <t>Rendimentos de Aplicações</t>
        </is>
      </c>
      <c r="C748" s="3" t="inlineStr">
        <is>
          <t>CONTA SIMPLES</t>
        </is>
      </c>
      <c r="D748" s="3" t="inlineStr">
        <is>
          <t>Rentabilidade CDI - Remuneração-Cta Pgto</t>
        </is>
      </c>
      <c r="E748" s="3" t="n">
        <v>14.44</v>
      </c>
      <c r="F748" s="3" t="inlineStr">
        <is>
          <t>Crédito</t>
        </is>
      </c>
      <c r="G748" s="3" t="inlineStr">
        <is>
          <t>Rendimentos de Aplicações</t>
        </is>
      </c>
      <c r="H748" s="3" t="inlineStr">
        <is>
          <t>2025-10</t>
        </is>
      </c>
      <c r="I748" s="3" t="n"/>
      <c r="J748" s="3" t="n"/>
    </row>
    <row r="749">
      <c r="A749" s="6" t="n">
        <v>45901</v>
      </c>
      <c r="B749" s="3" t="inlineStr">
        <is>
          <t>Google Play Net Revenue</t>
        </is>
      </c>
      <c r="C749" s="3" t="inlineStr">
        <is>
          <t>GOOGLE BRASIL PAGAMENTOS LTDA</t>
        </is>
      </c>
      <c r="D749" s="3" t="inlineStr">
        <is>
          <t>Venda 10 / NFS-e:66 - RPS:68</t>
        </is>
      </c>
      <c r="E749" s="3" t="n">
        <v>115465.19</v>
      </c>
      <c r="F749" s="3" t="inlineStr">
        <is>
          <t>Crédito</t>
        </is>
      </c>
      <c r="G749" s="3" t="inlineStr">
        <is>
          <t>Receitas de Vendas</t>
        </is>
      </c>
      <c r="H749" s="3" t="inlineStr">
        <is>
          <t>2025-09</t>
        </is>
      </c>
      <c r="I749" s="3" t="n"/>
      <c r="J749" s="3" t="n"/>
    </row>
    <row r="750">
      <c r="A750" s="6" t="n">
        <v>45947</v>
      </c>
      <c r="B750" s="3" t="n"/>
      <c r="C750" s="3" t="n"/>
      <c r="D750" s="3" t="inlineStr">
        <is>
          <t>Transferência de limite - Deposito de limite 2025-10-17T18:37:19.763Z</t>
        </is>
      </c>
      <c r="E750" s="3" t="n">
        <v>37323.33</v>
      </c>
      <c r="F750" s="3" t="inlineStr">
        <is>
          <t>Crédito</t>
        </is>
      </c>
      <c r="G750" s="3" t="inlineStr">
        <is>
          <t>Transferência de Entrada</t>
        </is>
      </c>
      <c r="H750" s="3" t="inlineStr">
        <is>
          <t>2025-10</t>
        </is>
      </c>
      <c r="I750" s="3" t="n"/>
      <c r="J750" s="3" t="n"/>
    </row>
    <row r="751">
      <c r="A751" s="6" t="n">
        <v>45901</v>
      </c>
      <c r="B751" s="3" t="inlineStr">
        <is>
          <t>Advisory &amp; Prof. Services Expenses</t>
        </is>
      </c>
      <c r="C751" s="3" t="inlineStr">
        <is>
          <t>BIRD PRESTACAO DE SERVICOS DE PSICOLOGIA E COACHING LTDA-EPP</t>
        </is>
      </c>
      <c r="D751" s="3" t="inlineStr">
        <is>
          <t>NFS 00000134 - Consultoria - set/2025</t>
        </is>
      </c>
      <c r="E751" s="3" t="n">
        <v>-1861</v>
      </c>
      <c r="F751" s="3" t="inlineStr">
        <is>
          <t>Débito</t>
        </is>
      </c>
      <c r="G751" s="3" t="inlineStr">
        <is>
          <t>Prestador de Serviço PJ (Com NF)</t>
        </is>
      </c>
      <c r="H751" s="3" t="inlineStr">
        <is>
          <t>2025-09</t>
        </is>
      </c>
      <c r="I751" s="3" t="n"/>
      <c r="J751" s="3" t="n"/>
    </row>
    <row r="752">
      <c r="A752" s="6" t="n">
        <v>45947</v>
      </c>
      <c r="B752" s="3" t="inlineStr">
        <is>
          <t>Rendimentos de Aplicações</t>
        </is>
      </c>
      <c r="C752" s="3" t="inlineStr">
        <is>
          <t>CONTA SIMPLES</t>
        </is>
      </c>
      <c r="D752" s="3" t="inlineStr">
        <is>
          <t>Rentabilidade CDI</t>
        </is>
      </c>
      <c r="E752" s="3" t="n">
        <v>14.45</v>
      </c>
      <c r="F752" s="3" t="inlineStr">
        <is>
          <t>Crédito</t>
        </is>
      </c>
      <c r="G752" s="3" t="inlineStr">
        <is>
          <t>Rendimentos de Aplicações</t>
        </is>
      </c>
      <c r="H752" s="3" t="inlineStr">
        <is>
          <t>2025-10</t>
        </is>
      </c>
      <c r="I752" s="3" t="n"/>
      <c r="J752" s="3" t="n"/>
    </row>
    <row r="753">
      <c r="A753" s="6" t="n">
        <v>45947</v>
      </c>
      <c r="B753" s="3" t="n"/>
      <c r="C753" s="3" t="n"/>
      <c r="D753" s="3" t="inlineStr">
        <is>
          <t>Transferência de limite - Deposito de limite 2025-10-17T18:37:19.763Z</t>
        </is>
      </c>
      <c r="E753" s="3" t="n">
        <v>-37323.33</v>
      </c>
      <c r="F753" s="3" t="inlineStr">
        <is>
          <t>Débito</t>
        </is>
      </c>
      <c r="G753" s="3" t="inlineStr">
        <is>
          <t>Transferência de Saída</t>
        </is>
      </c>
      <c r="H753" s="3" t="inlineStr">
        <is>
          <t>2025-10</t>
        </is>
      </c>
      <c r="I753" s="3" t="n"/>
      <c r="J753" s="3" t="n"/>
    </row>
    <row r="754">
      <c r="A754" s="6" t="n">
        <v>45947</v>
      </c>
      <c r="B754" s="3" t="inlineStr">
        <is>
          <t>Identificar</t>
        </is>
      </c>
      <c r="C754" s="3" t="n"/>
      <c r="D754" s="3" t="inlineStr">
        <is>
          <t>Pix enviado - Marluce Vitoria De Oliveira Souza</t>
        </is>
      </c>
      <c r="E754" s="3" t="n">
        <v>-50</v>
      </c>
      <c r="F754" s="3" t="inlineStr">
        <is>
          <t>Débito</t>
        </is>
      </c>
      <c r="G754" s="3" t="inlineStr">
        <is>
          <t>Despesas a identificar</t>
        </is>
      </c>
      <c r="H754" s="3" t="inlineStr">
        <is>
          <t>2025-10</t>
        </is>
      </c>
      <c r="I754" s="3" t="n"/>
      <c r="J754" s="3" t="n"/>
    </row>
    <row r="755">
      <c r="A755" s="6" t="n">
        <v>45947</v>
      </c>
      <c r="B755" s="3" t="inlineStr">
        <is>
          <t>Identificar</t>
        </is>
      </c>
      <c r="C755" s="3" t="n"/>
      <c r="D755" s="3" t="inlineStr">
        <is>
          <t>Pix enviado - Tamiris Silva Evangelista</t>
        </is>
      </c>
      <c r="E755" s="3" t="n">
        <v>-50</v>
      </c>
      <c r="F755" s="3" t="inlineStr">
        <is>
          <t>Débito</t>
        </is>
      </c>
      <c r="G755" s="3" t="inlineStr">
        <is>
          <t>Despesas a identificar</t>
        </is>
      </c>
      <c r="H755" s="3" t="inlineStr">
        <is>
          <t>2025-10</t>
        </is>
      </c>
      <c r="I755" s="3" t="n"/>
      <c r="J755" s="3" t="n"/>
    </row>
    <row r="756">
      <c r="A756" s="6" t="n">
        <v>45901</v>
      </c>
      <c r="B756" s="3" t="inlineStr">
        <is>
          <t>Office Expenses</t>
        </is>
      </c>
      <c r="C756" s="3" t="inlineStr">
        <is>
          <t>GO OFFICES LATAM S/A</t>
        </is>
      </c>
      <c r="D756" s="3" t="inlineStr">
        <is>
          <t>RECIBO 21723 - REF. ALUGUEL MENSAL</t>
        </is>
      </c>
      <c r="E756" s="3" t="n">
        <v>-7650</v>
      </c>
      <c r="F756" s="3" t="inlineStr">
        <is>
          <t>Débito</t>
        </is>
      </c>
      <c r="G756" s="3" t="inlineStr">
        <is>
          <t>Aluguel</t>
        </is>
      </c>
      <c r="H756" s="3" t="inlineStr">
        <is>
          <t>2025-09</t>
        </is>
      </c>
      <c r="I756" s="3" t="n"/>
      <c r="J756" s="3" t="n"/>
    </row>
    <row r="757">
      <c r="A757" s="6" t="n">
        <v>45901</v>
      </c>
      <c r="B757" s="3" t="inlineStr">
        <is>
          <t>Legal &amp; Accounting Expenses</t>
        </is>
      </c>
      <c r="C757" s="3" t="inlineStr">
        <is>
          <t>WOLFF E SCRIPES ADVOGADOS</t>
        </is>
      </c>
      <c r="D757" s="3" t="inlineStr">
        <is>
          <t>NF 1699 - HONORÁRIOS ADVOCATÍCIOS</t>
        </is>
      </c>
      <c r="E757" s="3" t="n">
        <v>-4122.96</v>
      </c>
      <c r="F757" s="3" t="inlineStr">
        <is>
          <t>Débito</t>
        </is>
      </c>
      <c r="G757" s="3" t="inlineStr">
        <is>
          <t>Honorários Advocatícios</t>
        </is>
      </c>
      <c r="H757" s="3" t="inlineStr">
        <is>
          <t>2025-09</t>
        </is>
      </c>
      <c r="I757" s="3" t="n"/>
      <c r="J757" s="3" t="n"/>
    </row>
    <row r="758">
      <c r="A758" s="6" t="n">
        <v>45930</v>
      </c>
      <c r="B758" s="3" t="inlineStr">
        <is>
          <t>Office Expenses</t>
        </is>
      </c>
      <c r="C758" s="3" t="inlineStr">
        <is>
          <t>GO OFFICES LATAM S/A</t>
        </is>
      </c>
      <c r="D758" s="3" t="inlineStr">
        <is>
          <t>Recibo de Locação - Sala de reunião NO SHOW - set/2025</t>
        </is>
      </c>
      <c r="E758" s="3" t="n">
        <v>-30</v>
      </c>
      <c r="F758" s="3" t="inlineStr">
        <is>
          <t>Débito</t>
        </is>
      </c>
      <c r="G758" s="3" t="inlineStr">
        <is>
          <t>Aluguel</t>
        </is>
      </c>
      <c r="H758" s="3" t="inlineStr">
        <is>
          <t>2025-09</t>
        </is>
      </c>
      <c r="I758" s="3" t="n"/>
      <c r="J758" s="3" t="n"/>
    </row>
    <row r="759">
      <c r="A759" s="6" t="n">
        <v>45901</v>
      </c>
      <c r="B759" s="3" t="inlineStr">
        <is>
          <t>Office Expenses</t>
        </is>
      </c>
      <c r="C759" s="3" t="inlineStr">
        <is>
          <t>CO-SERVICES DO BRASIL  SERVICOS COMBINADOS DE APOIO A EDIFICIOS LTDA</t>
        </is>
      </c>
      <c r="D759" s="3" t="inlineStr">
        <is>
          <t>NF 23965 - REF. SERVIÇOS DE FACILITES</t>
        </is>
      </c>
      <c r="E759" s="3" t="n">
        <v>-739.5</v>
      </c>
      <c r="F759" s="3" t="inlineStr">
        <is>
          <t>Débito</t>
        </is>
      </c>
      <c r="G759" s="3" t="inlineStr">
        <is>
          <t>Aluguel</t>
        </is>
      </c>
      <c r="H759" s="3" t="inlineStr">
        <is>
          <t>2025-09</t>
        </is>
      </c>
      <c r="I759" s="3" t="n"/>
      <c r="J759" s="3" t="n"/>
    </row>
    <row r="760">
      <c r="A760" s="6" t="n">
        <v>45901</v>
      </c>
      <c r="B760" s="3" t="inlineStr">
        <is>
          <t>Other Taxes</t>
        </is>
      </c>
      <c r="C760" s="3" t="inlineStr">
        <is>
          <t>IMPOSTOS/TRIBUTOS</t>
        </is>
      </c>
      <c r="D760" s="3" t="inlineStr">
        <is>
          <t>SIMPLES NACIONAL - DAS</t>
        </is>
      </c>
      <c r="E760" s="3" t="n">
        <v>-81753.57000000001</v>
      </c>
      <c r="F760" s="3" t="inlineStr">
        <is>
          <t>Débito</t>
        </is>
      </c>
      <c r="G760" s="3" t="inlineStr">
        <is>
          <t>Simples Nacional - DAS</t>
        </is>
      </c>
      <c r="H760" s="3" t="inlineStr">
        <is>
          <t>2025-09</t>
        </is>
      </c>
      <c r="I760" s="3" t="n"/>
      <c r="J760" s="3" t="n"/>
    </row>
    <row r="761">
      <c r="A761" s="6" t="n">
        <v>45901</v>
      </c>
      <c r="B761" s="3" t="inlineStr">
        <is>
          <t>Legal &amp; Accounting Expenses</t>
        </is>
      </c>
      <c r="C761" s="3" t="inlineStr">
        <is>
          <t>BHUB.AI</t>
        </is>
      </c>
      <c r="D761" s="3" t="inlineStr">
        <is>
          <t>NF 2555 - BHUB - MENSALIDADE BPO FINANCEIRO E CONTABILIDADE</t>
        </is>
      </c>
      <c r="E761" s="3" t="n">
        <v>-4545.91</v>
      </c>
      <c r="F761" s="3" t="inlineStr">
        <is>
          <t>Débito</t>
        </is>
      </c>
      <c r="G761" s="3" t="inlineStr">
        <is>
          <t>Honorários BPO Financeiro</t>
        </is>
      </c>
      <c r="H761" s="3" t="inlineStr">
        <is>
          <t>2025-09</t>
        </is>
      </c>
      <c r="I761" s="3" t="n"/>
      <c r="J761" s="3" t="n"/>
    </row>
    <row r="762">
      <c r="A762" s="6" t="n">
        <v>45901</v>
      </c>
      <c r="B762" s="3" t="inlineStr">
        <is>
          <t>Payroll Tax - Brazil</t>
        </is>
      </c>
      <c r="C762" s="3" t="inlineStr">
        <is>
          <t>IMPOSTOS/TRIBUTOS</t>
        </is>
      </c>
      <c r="D762" s="3" t="inlineStr">
        <is>
          <t>RECEITA FEDERAL/SP - DARF INSS</t>
        </is>
      </c>
      <c r="E762" s="3" t="n">
        <v>-166.98</v>
      </c>
      <c r="F762" s="3" t="inlineStr">
        <is>
          <t>Débito</t>
        </is>
      </c>
      <c r="G762" s="3" t="inlineStr">
        <is>
          <t>INSS sobre Pró-labore - GPS</t>
        </is>
      </c>
      <c r="H762" s="3" t="inlineStr">
        <is>
          <t>2025-09</t>
        </is>
      </c>
      <c r="I762" s="3" t="n"/>
      <c r="J762" s="3" t="n"/>
    </row>
    <row r="763">
      <c r="A763" s="6" t="n">
        <v>45901</v>
      </c>
      <c r="B763" s="3" t="inlineStr">
        <is>
          <t>Payroll Tax - Brazil</t>
        </is>
      </c>
      <c r="C763" s="3" t="inlineStr">
        <is>
          <t>IMPOSTOS/TRIBUTOS</t>
        </is>
      </c>
      <c r="D763" s="3" t="inlineStr">
        <is>
          <t>RECEITA FEDERAL/SP - DARF INSS</t>
        </is>
      </c>
      <c r="E763" s="3" t="n">
        <v>-93.5</v>
      </c>
      <c r="F763" s="3" t="inlineStr">
        <is>
          <t>Débito</t>
        </is>
      </c>
      <c r="G763" s="3" t="inlineStr">
        <is>
          <t>Retenção - GPS 2631 - INSS</t>
        </is>
      </c>
      <c r="H763" s="3" t="inlineStr">
        <is>
          <t>2025-09</t>
        </is>
      </c>
      <c r="I763" s="3" t="n"/>
      <c r="J763" s="3" t="n"/>
    </row>
    <row r="764">
      <c r="A764" s="6" t="n">
        <v>45953</v>
      </c>
      <c r="B764" s="3" t="inlineStr">
        <is>
          <t>Identificar</t>
        </is>
      </c>
      <c r="C764" s="3" t="n"/>
      <c r="D764" s="3" t="inlineStr">
        <is>
          <t>Pix enviado - Emily Victoria Araujo Silva</t>
        </is>
      </c>
      <c r="E764" s="3" t="n">
        <v>-50</v>
      </c>
      <c r="F764" s="3" t="inlineStr">
        <is>
          <t>Débito</t>
        </is>
      </c>
      <c r="G764" s="3" t="inlineStr">
        <is>
          <t>Despesas a identificar</t>
        </is>
      </c>
      <c r="H764" s="3" t="inlineStr">
        <is>
          <t>2025-10</t>
        </is>
      </c>
      <c r="I764" s="3" t="n"/>
      <c r="J764" s="3" t="n"/>
    </row>
    <row r="765">
      <c r="A765" s="6" t="n">
        <v>45953</v>
      </c>
      <c r="B765" s="3" t="inlineStr">
        <is>
          <t>Identificar</t>
        </is>
      </c>
      <c r="C765" s="3" t="n"/>
      <c r="D765" s="3" t="inlineStr">
        <is>
          <t>Pix enviado - Luiza Taglianetti Cabral Silva</t>
        </is>
      </c>
      <c r="E765" s="3" t="n">
        <v>-50</v>
      </c>
      <c r="F765" s="3" t="inlineStr">
        <is>
          <t>Débito</t>
        </is>
      </c>
      <c r="G765" s="3" t="inlineStr">
        <is>
          <t>Despesas a identificar</t>
        </is>
      </c>
      <c r="H765" s="3" t="inlineStr">
        <is>
          <t>2025-10</t>
        </is>
      </c>
      <c r="I765" s="3" t="n"/>
      <c r="J765" s="3" t="n"/>
    </row>
    <row r="766">
      <c r="A766" s="6" t="n">
        <v>45953</v>
      </c>
      <c r="B766" s="3" t="inlineStr">
        <is>
          <t>Identificar</t>
        </is>
      </c>
      <c r="C766" s="3" t="n"/>
      <c r="D766" s="3" t="inlineStr">
        <is>
          <t>Pix enviado - Maiara Vieira Soares Dos Santos</t>
        </is>
      </c>
      <c r="E766" s="3" t="n">
        <v>-50</v>
      </c>
      <c r="F766" s="3" t="inlineStr">
        <is>
          <t>Débito</t>
        </is>
      </c>
      <c r="G766" s="3" t="inlineStr">
        <is>
          <t>Despesas a identificar</t>
        </is>
      </c>
      <c r="H766" s="3" t="inlineStr">
        <is>
          <t>2025-10</t>
        </is>
      </c>
      <c r="I766" s="3" t="n"/>
      <c r="J766" s="3" t="n"/>
    </row>
    <row r="767">
      <c r="A767" s="6" t="n">
        <v>45953</v>
      </c>
      <c r="B767" s="3" t="inlineStr">
        <is>
          <t>Identificar</t>
        </is>
      </c>
      <c r="C767" s="3" t="n"/>
      <c r="D767" s="3" t="inlineStr">
        <is>
          <t>Pix enviado - Mariana Gomes Matos Da Silva</t>
        </is>
      </c>
      <c r="E767" s="3" t="n">
        <v>-50</v>
      </c>
      <c r="F767" s="3" t="inlineStr">
        <is>
          <t>Débito</t>
        </is>
      </c>
      <c r="G767" s="3" t="inlineStr">
        <is>
          <t>Despesas a identificar</t>
        </is>
      </c>
      <c r="H767" s="3" t="inlineStr">
        <is>
          <t>2025-10</t>
        </is>
      </c>
      <c r="I767" s="3" t="n"/>
      <c r="J767" s="3" t="n"/>
    </row>
    <row r="768">
      <c r="A768" s="6" t="n">
        <v>45953</v>
      </c>
      <c r="B768" s="3" t="inlineStr">
        <is>
          <t>Identificar</t>
        </is>
      </c>
      <c r="C768" s="3" t="n"/>
      <c r="D768" s="3" t="inlineStr">
        <is>
          <t>Pix enviado - Thais Bispo Silva</t>
        </is>
      </c>
      <c r="E768" s="3" t="n">
        <v>-50</v>
      </c>
      <c r="F768" s="3" t="inlineStr">
        <is>
          <t>Débito</t>
        </is>
      </c>
      <c r="G768" s="3" t="inlineStr">
        <is>
          <t>Despesas a identificar</t>
        </is>
      </c>
      <c r="H768" s="3" t="inlineStr">
        <is>
          <t>2025-10</t>
        </is>
      </c>
      <c r="I768" s="3" t="n"/>
      <c r="J768" s="3" t="n"/>
    </row>
    <row r="769">
      <c r="A769" s="6" t="n">
        <v>45953</v>
      </c>
      <c r="B769" s="3" t="inlineStr">
        <is>
          <t>Identificar</t>
        </is>
      </c>
      <c r="C769" s="3" t="n"/>
      <c r="D769" s="3" t="inlineStr">
        <is>
          <t>Pix enviado - Amanda Emily Oliveira Moreira</t>
        </is>
      </c>
      <c r="E769" s="3" t="n">
        <v>-50</v>
      </c>
      <c r="F769" s="3" t="inlineStr">
        <is>
          <t>Débito</t>
        </is>
      </c>
      <c r="G769" s="3" t="inlineStr">
        <is>
          <t>Despesas a identificar</t>
        </is>
      </c>
      <c r="H769" s="3" t="inlineStr">
        <is>
          <t>2025-10</t>
        </is>
      </c>
      <c r="I769" s="3" t="n"/>
      <c r="J769" s="3" t="n"/>
    </row>
    <row r="770">
      <c r="A770" s="6" t="n">
        <v>45953</v>
      </c>
      <c r="B770" s="3" t="inlineStr">
        <is>
          <t>Identificar</t>
        </is>
      </c>
      <c r="C770" s="3" t="n"/>
      <c r="D770" s="3" t="inlineStr">
        <is>
          <t>Pix enviado - Veronica Rosa Machado</t>
        </is>
      </c>
      <c r="E770" s="3" t="n">
        <v>-50</v>
      </c>
      <c r="F770" s="3" t="inlineStr">
        <is>
          <t>Débito</t>
        </is>
      </c>
      <c r="G770" s="3" t="inlineStr">
        <is>
          <t>Despesas a identificar</t>
        </is>
      </c>
      <c r="H770" s="3" t="inlineStr">
        <is>
          <t>2025-10</t>
        </is>
      </c>
      <c r="I770" s="3" t="n"/>
      <c r="J770" s="3" t="n"/>
    </row>
    <row r="771">
      <c r="A771" s="6" t="n">
        <v>45870</v>
      </c>
      <c r="B771" s="3" t="inlineStr">
        <is>
          <t>App Store Net Revenue</t>
        </is>
      </c>
      <c r="C771" s="3" t="inlineStr">
        <is>
          <t>App Store (Apple)</t>
        </is>
      </c>
      <c r="D771" s="3" t="inlineStr">
        <is>
          <t>Venda 9 / NFS-e:65 - RPS:67</t>
        </is>
      </c>
      <c r="E771" s="3" t="n">
        <v>214972.62</v>
      </c>
      <c r="F771" s="3" t="inlineStr">
        <is>
          <t>Crédito</t>
        </is>
      </c>
      <c r="G771" s="3" t="inlineStr">
        <is>
          <t>Receitas de Vendas</t>
        </is>
      </c>
      <c r="H771" s="3" t="inlineStr">
        <is>
          <t>2025-08</t>
        </is>
      </c>
      <c r="I771" s="3" t="n"/>
      <c r="J771" s="3" t="n"/>
    </row>
    <row r="772">
      <c r="A772" s="6" t="n">
        <v>45962</v>
      </c>
      <c r="B772" s="3" t="inlineStr">
        <is>
          <t>Payroll Tax - Brazil</t>
        </is>
      </c>
      <c r="C772" s="3" t="inlineStr">
        <is>
          <t>IMPOSTOS/TRIBUTOS</t>
        </is>
      </c>
      <c r="D772" s="3" t="inlineStr">
        <is>
          <t>DAMSP - DARF ISS 10.2025</t>
        </is>
      </c>
      <c r="E772" s="3" t="n">
        <v>-17</v>
      </c>
      <c r="F772" s="3" t="inlineStr">
        <is>
          <t>Débito</t>
        </is>
      </c>
      <c r="G772" s="3" t="inlineStr">
        <is>
          <t>Retenção - ISS Serviços Tomados</t>
        </is>
      </c>
      <c r="H772" s="3" t="inlineStr">
        <is>
          <t>2025-11</t>
        </is>
      </c>
      <c r="I772" s="3" t="n"/>
      <c r="J772" s="3" t="n"/>
    </row>
    <row r="773">
      <c r="A773" s="6" t="n">
        <v>45931</v>
      </c>
      <c r="B773" s="3" t="inlineStr">
        <is>
          <t>Legal &amp; Accounting Expenses</t>
        </is>
      </c>
      <c r="C773" s="3" t="inlineStr">
        <is>
          <t>BHUB.AI</t>
        </is>
      </c>
      <c r="D773" s="3" t="inlineStr">
        <is>
          <t>NF 2625 - BHUB - MENSALIDADE BPO FINANCEIRO</t>
        </is>
      </c>
      <c r="E773" s="3" t="n">
        <v>-3294.14</v>
      </c>
      <c r="F773" s="3" t="inlineStr">
        <is>
          <t>Débito</t>
        </is>
      </c>
      <c r="G773" s="3" t="inlineStr">
        <is>
          <t>Honorários BPO Financeiro</t>
        </is>
      </c>
      <c r="H773" s="3" t="inlineStr">
        <is>
          <t>2025-10</t>
        </is>
      </c>
      <c r="I773" s="3" t="n"/>
      <c r="J773" s="3" t="n"/>
    </row>
    <row r="774">
      <c r="A774" s="6" t="n">
        <v>45931</v>
      </c>
      <c r="B774" s="3" t="inlineStr">
        <is>
          <t>Legal &amp; Accounting Expenses</t>
        </is>
      </c>
      <c r="C774" s="3" t="inlineStr">
        <is>
          <t>BHUB.AI</t>
        </is>
      </c>
      <c r="D774" s="3" t="inlineStr">
        <is>
          <t>NF 2625 - BHUB  - MENSALIDADE CONTÁBIL</t>
        </is>
      </c>
      <c r="E774" s="3" t="n">
        <v>-1251.77</v>
      </c>
      <c r="F774" s="3" t="inlineStr">
        <is>
          <t>Débito</t>
        </is>
      </c>
      <c r="G774" s="3" t="inlineStr">
        <is>
          <t>Honorários Contábeis</t>
        </is>
      </c>
      <c r="H774" s="3" t="inlineStr">
        <is>
          <t>2025-10</t>
        </is>
      </c>
      <c r="I774" s="3" t="n"/>
      <c r="J774" s="3" t="n"/>
    </row>
    <row r="775">
      <c r="A775" s="6" t="n">
        <v>45932</v>
      </c>
      <c r="B775" s="3" t="inlineStr">
        <is>
          <t>Wages Expenses</t>
        </is>
      </c>
      <c r="C775" s="3" t="inlineStr">
        <is>
          <t>Bruno Adami Serine</t>
        </is>
      </c>
      <c r="D775" s="3" t="inlineStr">
        <is>
          <t>PRÓ LABORE</t>
        </is>
      </c>
      <c r="E775" s="3" t="n">
        <v>-1256.68</v>
      </c>
      <c r="F775" s="3" t="inlineStr">
        <is>
          <t>Débito</t>
        </is>
      </c>
      <c r="G775" s="3" t="inlineStr">
        <is>
          <t>Pró-labore</t>
        </is>
      </c>
      <c r="H775" s="3" t="inlineStr">
        <is>
          <t>2025-10</t>
        </is>
      </c>
      <c r="I775" s="3" t="n"/>
      <c r="J775" s="3" t="n"/>
    </row>
    <row r="776">
      <c r="A776" s="6" t="n">
        <v>45931</v>
      </c>
      <c r="B776" s="3" t="inlineStr">
        <is>
          <t>Wages Expenses</t>
        </is>
      </c>
      <c r="C776" s="3" t="inlineStr">
        <is>
          <t>Bruno Adami Serine</t>
        </is>
      </c>
      <c r="D776" s="3" t="inlineStr">
        <is>
          <t>ANTECIPAÇÃO DE LUCROS</t>
        </is>
      </c>
      <c r="E776" s="3" t="n">
        <v>-13743.32</v>
      </c>
      <c r="F776" s="3" t="inlineStr">
        <is>
          <t>Débito</t>
        </is>
      </c>
      <c r="G776" s="3" t="inlineStr">
        <is>
          <t>Antecipação de Lucros</t>
        </is>
      </c>
      <c r="H776" s="3" t="inlineStr">
        <is>
          <t>2025-10</t>
        </is>
      </c>
      <c r="I776" s="3" t="n"/>
      <c r="J776" s="3" t="n"/>
    </row>
    <row r="777">
      <c r="A777" s="6" t="n">
        <v>45931</v>
      </c>
      <c r="B777" s="3" t="inlineStr">
        <is>
          <t>Wages Expenses</t>
        </is>
      </c>
      <c r="C777" s="3" t="inlineStr">
        <is>
          <t>MARCO ANTONIO PEREIRA DO ESPIRITO SANTO</t>
        </is>
      </c>
      <c r="D777" s="3" t="inlineStr">
        <is>
          <t>NF XX - SERVIÇOS PRESTADOS</t>
        </is>
      </c>
      <c r="E777" s="3" t="n">
        <v>-3397.33</v>
      </c>
      <c r="F777" s="3" t="inlineStr">
        <is>
          <t>Débito</t>
        </is>
      </c>
      <c r="G777" s="3" t="inlineStr">
        <is>
          <t>Prestador de Serviço PJ (Com NF)</t>
        </is>
      </c>
      <c r="H777" s="3" t="inlineStr">
        <is>
          <t>2025-10</t>
        </is>
      </c>
      <c r="I777" s="3" t="n"/>
      <c r="J777" s="3" t="n"/>
    </row>
    <row r="778">
      <c r="A778" s="6" t="n">
        <v>45931</v>
      </c>
      <c r="B778" s="3" t="inlineStr">
        <is>
          <t>Wages Expenses</t>
        </is>
      </c>
      <c r="C778" s="3" t="inlineStr">
        <is>
          <t>VITORIA DE OLIVEIRA FERREIRA CORREA</t>
        </is>
      </c>
      <c r="D778" s="3" t="inlineStr">
        <is>
          <t xml:space="preserve">NF  XX - SERVIÇOS PRESTADOS </t>
        </is>
      </c>
      <c r="E778" s="3" t="n">
        <v>-12000</v>
      </c>
      <c r="F778" s="3" t="inlineStr">
        <is>
          <t>Débito</t>
        </is>
      </c>
      <c r="G778" s="3" t="inlineStr">
        <is>
          <t>Prestador de Serviço PJ (Com NF)</t>
        </is>
      </c>
      <c r="H778" s="3" t="inlineStr">
        <is>
          <t>2025-10</t>
        </is>
      </c>
      <c r="I778" s="3" t="n"/>
      <c r="J778" s="3" t="n"/>
    </row>
    <row r="779">
      <c r="A779" s="6" t="n">
        <v>45931</v>
      </c>
      <c r="B779" s="3" t="inlineStr">
        <is>
          <t>Wages Expenses</t>
        </is>
      </c>
      <c r="C779" s="3" t="inlineStr">
        <is>
          <t>BEATRIZ MATHIDIOS DE OLIVEIRA</t>
        </is>
      </c>
      <c r="D779" s="3" t="inlineStr">
        <is>
          <t>NF XX - SERVIÇOS PRESTADOS</t>
        </is>
      </c>
      <c r="E779" s="3" t="n">
        <v>-3225</v>
      </c>
      <c r="F779" s="3" t="inlineStr">
        <is>
          <t>Débito</t>
        </is>
      </c>
      <c r="G779" s="3" t="inlineStr">
        <is>
          <t>Prestador de Serviço PJ (Com NF)</t>
        </is>
      </c>
      <c r="H779" s="3" t="inlineStr">
        <is>
          <t>2025-10</t>
        </is>
      </c>
      <c r="I779" s="3" t="n"/>
      <c r="J779" s="3" t="n"/>
    </row>
    <row r="780">
      <c r="A780" s="6" t="n">
        <v>45931</v>
      </c>
      <c r="B780" s="3" t="inlineStr">
        <is>
          <t>Wages Expenses</t>
        </is>
      </c>
      <c r="C780" s="3" t="inlineStr">
        <is>
          <t>GABRIEL CANTARIN SIMOES</t>
        </is>
      </c>
      <c r="D780" s="3" t="inlineStr">
        <is>
          <t>NF XX - SERVIÇOS PRESTADOS</t>
        </is>
      </c>
      <c r="E780" s="3" t="n">
        <v>-20000</v>
      </c>
      <c r="F780" s="3" t="inlineStr">
        <is>
          <t>Débito</t>
        </is>
      </c>
      <c r="G780" s="3" t="inlineStr">
        <is>
          <t>Prestador de Serviço PJ (Com NF)</t>
        </is>
      </c>
      <c r="H780" s="3" t="inlineStr">
        <is>
          <t>2025-10</t>
        </is>
      </c>
      <c r="I780" s="3" t="n"/>
      <c r="J780" s="3" t="n"/>
    </row>
    <row r="781">
      <c r="A781" s="6" t="n">
        <v>45931</v>
      </c>
      <c r="B781" s="3" t="inlineStr">
        <is>
          <t>Wages Expenses</t>
        </is>
      </c>
      <c r="C781" s="3" t="inlineStr">
        <is>
          <t>NUVATE (FILIPI RAFAEL)</t>
        </is>
      </c>
      <c r="D781" s="3" t="inlineStr">
        <is>
          <t xml:space="preserve">NF  XX - SERVIÇOS PRESTADOS </t>
        </is>
      </c>
      <c r="E781" s="3" t="n">
        <v>-9000</v>
      </c>
      <c r="F781" s="3" t="inlineStr">
        <is>
          <t>Débito</t>
        </is>
      </c>
      <c r="G781" s="3" t="inlineStr">
        <is>
          <t>Prestador de Serviço PJ (Com NF)</t>
        </is>
      </c>
      <c r="H781" s="3" t="inlineStr">
        <is>
          <t>2025-10</t>
        </is>
      </c>
      <c r="I781" s="3" t="n"/>
      <c r="J781" s="3" t="n"/>
    </row>
    <row r="782">
      <c r="A782" s="6" t="n">
        <v>45931</v>
      </c>
      <c r="B782" s="3" t="inlineStr">
        <is>
          <t>Wages Expenses</t>
        </is>
      </c>
      <c r="C782" s="3" t="inlineStr">
        <is>
          <t>JONAS JERONIMO CHAVES DE SOUSA</t>
        </is>
      </c>
      <c r="D782" s="3" t="inlineStr">
        <is>
          <t xml:space="preserve">NF  XX - SERVIÇOS PRESTADOS </t>
        </is>
      </c>
      <c r="E782" s="3" t="n">
        <v>-8000</v>
      </c>
      <c r="F782" s="3" t="inlineStr">
        <is>
          <t>Débito</t>
        </is>
      </c>
      <c r="G782" s="3" t="inlineStr">
        <is>
          <t>Prestador de Serviço PJ (Com NF)</t>
        </is>
      </c>
      <c r="H782" s="3" t="inlineStr">
        <is>
          <t>2025-10</t>
        </is>
      </c>
      <c r="I782" s="3" t="n"/>
      <c r="J782" s="3" t="n"/>
    </row>
    <row r="783">
      <c r="A783" s="6" t="n">
        <v>45931</v>
      </c>
      <c r="B783" s="3" t="inlineStr">
        <is>
          <t>Wages Expenses</t>
        </is>
      </c>
      <c r="C783" s="3" t="inlineStr">
        <is>
          <t>MANASSES QUEIROZ SILVA</t>
        </is>
      </c>
      <c r="D783" s="3" t="inlineStr">
        <is>
          <t xml:space="preserve">NF  XX - SERVIÇOS PRESTADOS </t>
        </is>
      </c>
      <c r="E783" s="3" t="n">
        <v>-2969.9</v>
      </c>
      <c r="F783" s="3" t="inlineStr">
        <is>
          <t>Débito</t>
        </is>
      </c>
      <c r="G783" s="3" t="inlineStr">
        <is>
          <t>Prestador de Serviço PJ (Com NF)</t>
        </is>
      </c>
      <c r="H783" s="3" t="inlineStr">
        <is>
          <t>2025-10</t>
        </is>
      </c>
      <c r="I783" s="3" t="n"/>
      <c r="J783" s="3" t="n"/>
    </row>
    <row r="784">
      <c r="A784" s="6" t="n">
        <v>45931</v>
      </c>
      <c r="B784" s="3" t="inlineStr">
        <is>
          <t>Legal &amp; Accounting Expenses</t>
        </is>
      </c>
      <c r="C784" s="3" t="inlineStr">
        <is>
          <t>WOLFF E SCRIPES ADVOGADOS</t>
        </is>
      </c>
      <c r="D784" s="3" t="inlineStr">
        <is>
          <t xml:space="preserve">NF XX - HONORÁRIOS ADVOCATÍCIOS </t>
        </is>
      </c>
      <c r="E784" s="3" t="n">
        <v>-324.84</v>
      </c>
      <c r="F784" s="3" t="inlineStr">
        <is>
          <t>Débito</t>
        </is>
      </c>
      <c r="G784" s="3" t="inlineStr">
        <is>
          <t>Honorários Advocatícios</t>
        </is>
      </c>
      <c r="H784" s="3" t="inlineStr">
        <is>
          <t>2025-10</t>
        </is>
      </c>
      <c r="I784" s="3" t="n"/>
      <c r="J784" s="3" t="n"/>
    </row>
    <row r="785">
      <c r="A785" s="6" t="n">
        <v>45931</v>
      </c>
      <c r="B785" s="3" t="inlineStr">
        <is>
          <t>Office Expenses</t>
        </is>
      </c>
      <c r="C785" s="3" t="inlineStr">
        <is>
          <t>GO OFFICES LATAM S/A</t>
        </is>
      </c>
      <c r="D785" s="3" t="inlineStr">
        <is>
          <t>RECIBO XX - REF. ALUGUEL MENSAL</t>
        </is>
      </c>
      <c r="E785" s="3" t="n">
        <v>-7650</v>
      </c>
      <c r="F785" s="3" t="inlineStr">
        <is>
          <t>Débito</t>
        </is>
      </c>
      <c r="G785" s="3" t="inlineStr">
        <is>
          <t>Aluguel</t>
        </is>
      </c>
      <c r="H785" s="3" t="inlineStr">
        <is>
          <t>2025-10</t>
        </is>
      </c>
      <c r="I785" s="3" t="n"/>
      <c r="J785" s="3" t="n"/>
    </row>
    <row r="786">
      <c r="A786" s="6" t="n">
        <v>45931</v>
      </c>
      <c r="B786" s="3" t="inlineStr">
        <is>
          <t>Office Expenses</t>
        </is>
      </c>
      <c r="C786" s="3" t="inlineStr">
        <is>
          <t>CO-SERVICES DO BRASIL  SERVICOS COMBINADOS DE APOIO A EDIFICIOS LTDA</t>
        </is>
      </c>
      <c r="D786" s="3" t="inlineStr">
        <is>
          <t>NF XX - REF. SERVIÇOS DE FACILITES</t>
        </is>
      </c>
      <c r="E786" s="3" t="n">
        <v>-739.5</v>
      </c>
      <c r="F786" s="3" t="inlineStr">
        <is>
          <t>Débito</t>
        </is>
      </c>
      <c r="G786" s="3" t="inlineStr">
        <is>
          <t>Aluguel</t>
        </is>
      </c>
      <c r="H786" s="3" t="inlineStr">
        <is>
          <t>2025-10</t>
        </is>
      </c>
      <c r="I786" s="3" t="n"/>
      <c r="J786" s="3" t="n"/>
    </row>
    <row r="787">
      <c r="A787" s="6" t="n">
        <v>45931</v>
      </c>
      <c r="B787" s="3" t="inlineStr">
        <is>
          <t>Other Taxes</t>
        </is>
      </c>
      <c r="C787" s="3" t="inlineStr">
        <is>
          <t>IMPOSTOS/TRIBUTOS</t>
        </is>
      </c>
      <c r="D787" s="3" t="inlineStr">
        <is>
          <t>SIMPLES NACIONAL - DAS</t>
        </is>
      </c>
      <c r="E787" s="3" t="n">
        <v>-69026.94</v>
      </c>
      <c r="F787" s="3" t="inlineStr">
        <is>
          <t>Débito</t>
        </is>
      </c>
      <c r="G787" s="3" t="inlineStr">
        <is>
          <t>Simples Nacional - DAS</t>
        </is>
      </c>
      <c r="H787" s="3" t="inlineStr">
        <is>
          <t>2025-10</t>
        </is>
      </c>
      <c r="I787" s="3" t="n"/>
      <c r="J787" s="3" t="n"/>
    </row>
    <row r="788">
      <c r="A788" s="6" t="n">
        <v>45931</v>
      </c>
      <c r="B788" s="3" t="inlineStr">
        <is>
          <t>Payroll Tax - Brazil</t>
        </is>
      </c>
      <c r="C788" s="3" t="inlineStr">
        <is>
          <t>IMPOSTOS/TRIBUTOS</t>
        </is>
      </c>
      <c r="D788" s="3" t="inlineStr">
        <is>
          <t xml:space="preserve">RECEITA FEDERAL/SP - DARF INSS </t>
        </is>
      </c>
      <c r="E788" s="3" t="n">
        <v>-93.5</v>
      </c>
      <c r="F788" s="3" t="inlineStr">
        <is>
          <t>Débito</t>
        </is>
      </c>
      <c r="G788" s="3" t="inlineStr">
        <is>
          <t>Retenção - GPS 2631 - INSS</t>
        </is>
      </c>
      <c r="H788" s="3" t="inlineStr">
        <is>
          <t>2025-10</t>
        </is>
      </c>
      <c r="I788" s="3" t="n"/>
      <c r="J788" s="3" t="n"/>
    </row>
    <row r="789">
      <c r="A789" s="6" t="n">
        <v>45931</v>
      </c>
      <c r="B789" s="3" t="inlineStr">
        <is>
          <t>Payroll Tax - Brazil</t>
        </is>
      </c>
      <c r="C789" s="3" t="inlineStr">
        <is>
          <t>IMPOSTOS/TRIBUTOS</t>
        </is>
      </c>
      <c r="D789" s="3" t="inlineStr">
        <is>
          <t xml:space="preserve">RECEITA FEDERAL/SP - DARF INSS </t>
        </is>
      </c>
      <c r="E789" s="3" t="n">
        <v>-166.98</v>
      </c>
      <c r="F789" s="3" t="inlineStr">
        <is>
          <t>Débito</t>
        </is>
      </c>
      <c r="G789" s="3" t="inlineStr">
        <is>
          <t>INSS sobre Pró-labore - GPS</t>
        </is>
      </c>
      <c r="H789" s="3" t="inlineStr">
        <is>
          <t>2025-10</t>
        </is>
      </c>
      <c r="I789" s="3" t="n"/>
      <c r="J789" s="3" t="n"/>
    </row>
    <row r="790">
      <c r="A790" s="6" t="n">
        <v>45627</v>
      </c>
      <c r="B790" s="3" t="inlineStr">
        <is>
          <t>Other Taxes</t>
        </is>
      </c>
      <c r="C790" s="3" t="inlineStr">
        <is>
          <t>IMPOSTOS/TRIBUTOS</t>
        </is>
      </c>
      <c r="D790" s="3" t="inlineStr">
        <is>
          <t>SIMPLES NACIONAL - DAS PARCELAMENTO DIVIDA ATIVA MUNICIPAL</t>
        </is>
      </c>
      <c r="E790" s="3" t="n">
        <v>-217.05</v>
      </c>
      <c r="F790" s="3" t="inlineStr">
        <is>
          <t>Débito</t>
        </is>
      </c>
      <c r="G790" s="3" t="inlineStr">
        <is>
          <t>Simples Nacional - DAS</t>
        </is>
      </c>
      <c r="H790" s="3" t="inlineStr">
        <is>
          <t>2024-12</t>
        </is>
      </c>
      <c r="I790" s="3" t="n"/>
      <c r="J790" s="3" t="n"/>
    </row>
    <row r="791">
      <c r="A791" s="6" t="n">
        <v>45931</v>
      </c>
      <c r="B791" s="3" t="inlineStr">
        <is>
          <t>Other Taxes</t>
        </is>
      </c>
      <c r="C791" s="3" t="inlineStr">
        <is>
          <t>IMPOSTOS/TRIBUTOS</t>
        </is>
      </c>
      <c r="D791" s="3" t="inlineStr">
        <is>
          <t>SIMPLES NACIONAL - DAS PARCELAMENTO DIVIDA ATIVA MUNICIPAL</t>
        </is>
      </c>
      <c r="E791" s="3" t="n">
        <v>-210.44</v>
      </c>
      <c r="F791" s="3" t="inlineStr">
        <is>
          <t>Débito</t>
        </is>
      </c>
      <c r="G791" s="3" t="inlineStr">
        <is>
          <t>Simples Nacional - DAS</t>
        </is>
      </c>
      <c r="H791" s="3" t="inlineStr">
        <is>
          <t>2025-10</t>
        </is>
      </c>
      <c r="I791" s="3" t="n"/>
      <c r="J791" s="3" t="n"/>
    </row>
    <row r="792">
      <c r="A792" s="6" t="n">
        <v>45931</v>
      </c>
      <c r="B792" s="3" t="inlineStr">
        <is>
          <t>Other Taxes</t>
        </is>
      </c>
      <c r="C792" s="3" t="inlineStr">
        <is>
          <t>IMPOSTOS/TRIBUTOS</t>
        </is>
      </c>
      <c r="D792" s="3" t="inlineStr">
        <is>
          <t>SIMPLES NACIONAL - DAS PARCELAMENTO SIMPLES NACIONAL</t>
        </is>
      </c>
      <c r="E792" s="3" t="n">
        <v>-5283.86</v>
      </c>
      <c r="F792" s="3" t="inlineStr">
        <is>
          <t>Débito</t>
        </is>
      </c>
      <c r="G792" s="3" t="inlineStr">
        <is>
          <t>Simples Nacional - DAS</t>
        </is>
      </c>
      <c r="H792" s="3" t="inlineStr">
        <is>
          <t>2025-10</t>
        </is>
      </c>
      <c r="I792" s="3" t="n"/>
      <c r="J792" s="3" t="n"/>
    </row>
    <row r="793">
      <c r="A793" s="6" t="n">
        <v>45931</v>
      </c>
      <c r="B793" s="3" t="inlineStr">
        <is>
          <t>Other Taxes</t>
        </is>
      </c>
      <c r="C793" s="3" t="inlineStr">
        <is>
          <t>IMPOSTOS/TRIBUTOS</t>
        </is>
      </c>
      <c r="D793" s="3" t="inlineStr">
        <is>
          <t>SIMPLES NACIONAL - DAS PARCELAMENTO SIMPLES NACIONAL</t>
        </is>
      </c>
      <c r="E793" s="3" t="n">
        <v>-5109.51</v>
      </c>
      <c r="F793" s="3" t="inlineStr">
        <is>
          <t>Débito</t>
        </is>
      </c>
      <c r="G793" s="3" t="inlineStr">
        <is>
          <t>Simples Nacional - DAS</t>
        </is>
      </c>
      <c r="H793" s="3" t="inlineStr">
        <is>
          <t>2025-10</t>
        </is>
      </c>
      <c r="I793" s="3" t="n"/>
      <c r="J793" s="3" t="n"/>
    </row>
    <row r="794">
      <c r="A794" s="6" t="n">
        <v>45931</v>
      </c>
      <c r="B794" s="3" t="inlineStr">
        <is>
          <t>Other Taxes</t>
        </is>
      </c>
      <c r="C794" s="3" t="inlineStr">
        <is>
          <t>IMPOSTOS/TRIBUTOS</t>
        </is>
      </c>
      <c r="D794" s="3" t="inlineStr">
        <is>
          <t>SIMPLES NACIONAL - DAS PARCELAMENTO DIVIDA ATIVA</t>
        </is>
      </c>
      <c r="E794" s="3" t="n">
        <v>-821.33</v>
      </c>
      <c r="F794" s="3" t="inlineStr">
        <is>
          <t>Débito</t>
        </is>
      </c>
      <c r="G794" s="3" t="inlineStr">
        <is>
          <t>Simples Nacional - DAS</t>
        </is>
      </c>
      <c r="H794" s="3" t="inlineStr">
        <is>
          <t>2025-10</t>
        </is>
      </c>
      <c r="I794" s="3" t="n"/>
      <c r="J794" s="3" t="n"/>
    </row>
    <row r="795">
      <c r="A795" s="6" t="n">
        <v>45931</v>
      </c>
      <c r="B795" s="3" t="inlineStr">
        <is>
          <t>Other Taxes</t>
        </is>
      </c>
      <c r="C795" s="3" t="inlineStr">
        <is>
          <t>IMPOSTOS/TRIBUTOS</t>
        </is>
      </c>
      <c r="D795" s="3" t="inlineStr">
        <is>
          <t xml:space="preserve">SIMPLES NACIONAL - DAS PARCELAMENTO DIVIDA ATIVA </t>
        </is>
      </c>
      <c r="E795" s="3" t="n">
        <v>-794.23</v>
      </c>
      <c r="F795" s="3" t="inlineStr">
        <is>
          <t>Débito</t>
        </is>
      </c>
      <c r="G795" s="3" t="inlineStr">
        <is>
          <t>Simples Nacional - DAS</t>
        </is>
      </c>
      <c r="H795" s="3" t="inlineStr">
        <is>
          <t>2025-10</t>
        </is>
      </c>
      <c r="I795" s="3" t="n"/>
      <c r="J795" s="3" t="n"/>
    </row>
    <row r="796">
      <c r="A796" s="6" t="n">
        <v>45992</v>
      </c>
      <c r="B796" s="3" t="inlineStr">
        <is>
          <t>Payroll Tax - Brazil</t>
        </is>
      </c>
      <c r="C796" s="3" t="inlineStr">
        <is>
          <t>IMPOSTOS/TRIBUTOS</t>
        </is>
      </c>
      <c r="D796" s="3" t="inlineStr">
        <is>
          <t>DAMSP - DARF ISS 11.2025</t>
        </is>
      </c>
      <c r="E796" s="3" t="n">
        <v>-17</v>
      </c>
      <c r="F796" s="3" t="inlineStr">
        <is>
          <t>Débito</t>
        </is>
      </c>
      <c r="G796" s="3" t="inlineStr">
        <is>
          <t>Retenção - ISS Serviços Tomados</t>
        </is>
      </c>
      <c r="H796" s="3" t="inlineStr">
        <is>
          <t>2025-12</t>
        </is>
      </c>
      <c r="I796" s="3" t="n"/>
      <c r="J796" s="3" t="n"/>
    </row>
    <row r="797">
      <c r="A797" s="6" t="n">
        <v>45962</v>
      </c>
      <c r="B797" s="3" t="inlineStr">
        <is>
          <t>Legal &amp; Accounting Expenses</t>
        </is>
      </c>
      <c r="C797" s="3" t="inlineStr">
        <is>
          <t>BHUB.AI</t>
        </is>
      </c>
      <c r="D797" s="3" t="inlineStr">
        <is>
          <t>NF XX - BHUB - MENSALIDADE BPO FINANCEIRO</t>
        </is>
      </c>
      <c r="E797" s="3" t="n">
        <v>-3294.14</v>
      </c>
      <c r="F797" s="3" t="inlineStr">
        <is>
          <t>Débito</t>
        </is>
      </c>
      <c r="G797" s="3" t="inlineStr">
        <is>
          <t>Honorários BPO Financeiro</t>
        </is>
      </c>
      <c r="H797" s="3" t="inlineStr">
        <is>
          <t>2025-11</t>
        </is>
      </c>
      <c r="I797" s="3" t="n"/>
      <c r="J797" s="3" t="n"/>
    </row>
    <row r="798">
      <c r="A798" s="6" t="n">
        <v>45962</v>
      </c>
      <c r="B798" s="3" t="inlineStr">
        <is>
          <t>Legal &amp; Accounting Expenses</t>
        </is>
      </c>
      <c r="C798" s="3" t="inlineStr">
        <is>
          <t>BHUB.AI</t>
        </is>
      </c>
      <c r="D798" s="3" t="inlineStr">
        <is>
          <t>NF XX - BHUB  - MENSALIDADE CONTÁBIL</t>
        </is>
      </c>
      <c r="E798" s="3" t="n">
        <v>-1251.77</v>
      </c>
      <c r="F798" s="3" t="inlineStr">
        <is>
          <t>Débito</t>
        </is>
      </c>
      <c r="G798" s="3" t="inlineStr">
        <is>
          <t>Honorários Contábeis</t>
        </is>
      </c>
      <c r="H798" s="3" t="inlineStr">
        <is>
          <t>2025-11</t>
        </is>
      </c>
      <c r="I798" s="3" t="n"/>
      <c r="J798" s="3" t="n"/>
    </row>
    <row r="799">
      <c r="A799" s="6" t="n">
        <v>45962</v>
      </c>
      <c r="B799" s="3" t="inlineStr">
        <is>
          <t>Other Expenses</t>
        </is>
      </c>
      <c r="C799" s="3" t="inlineStr">
        <is>
          <t>BANCO INTER</t>
        </is>
      </c>
      <c r="D799" s="3" t="inlineStr">
        <is>
          <t>Fatura Cartão de Crédito - Banco Inter</t>
        </is>
      </c>
      <c r="E799" s="3" t="n">
        <v>-0.01</v>
      </c>
      <c r="F799" s="3" t="inlineStr">
        <is>
          <t>Débito</t>
        </is>
      </c>
      <c r="G799" s="3" t="inlineStr">
        <is>
          <t>Transferência Entre Contas</t>
        </is>
      </c>
      <c r="H799" s="3" t="inlineStr">
        <is>
          <t>2025-11</t>
        </is>
      </c>
      <c r="I799" s="3" t="n"/>
      <c r="J799" s="3" t="n"/>
    </row>
    <row r="800">
      <c r="A800" s="6" t="n">
        <v>45962</v>
      </c>
      <c r="B800" s="3" t="inlineStr">
        <is>
          <t>Wages Expenses</t>
        </is>
      </c>
      <c r="C800" s="3" t="inlineStr">
        <is>
          <t>Bruno Adami Serine</t>
        </is>
      </c>
      <c r="D800" s="3" t="inlineStr">
        <is>
          <t xml:space="preserve">PRÓ LABORE </t>
        </is>
      </c>
      <c r="E800" s="3" t="n">
        <v>-1256.68</v>
      </c>
      <c r="F800" s="3" t="inlineStr">
        <is>
          <t>Débito</t>
        </is>
      </c>
      <c r="G800" s="3" t="inlineStr">
        <is>
          <t>Pró-labore</t>
        </is>
      </c>
      <c r="H800" s="3" t="inlineStr">
        <is>
          <t>2025-11</t>
        </is>
      </c>
      <c r="I800" s="3" t="n"/>
      <c r="J800" s="3" t="n"/>
    </row>
    <row r="801">
      <c r="A801" s="6" t="n">
        <v>45962</v>
      </c>
      <c r="B801" s="3" t="inlineStr">
        <is>
          <t>Wages Expenses</t>
        </is>
      </c>
      <c r="C801" s="3" t="inlineStr">
        <is>
          <t>Bruno Adami Serine</t>
        </is>
      </c>
      <c r="D801" s="3" t="inlineStr">
        <is>
          <t>ANTECIPAÇÃO DE LUCROS</t>
        </is>
      </c>
      <c r="E801" s="3" t="n">
        <v>-13743.32</v>
      </c>
      <c r="F801" s="3" t="inlineStr">
        <is>
          <t>Débito</t>
        </is>
      </c>
      <c r="G801" s="3" t="inlineStr">
        <is>
          <t>Antecipação de Lucros</t>
        </is>
      </c>
      <c r="H801" s="3" t="inlineStr">
        <is>
          <t>2025-11</t>
        </is>
      </c>
      <c r="I801" s="3" t="n"/>
      <c r="J801" s="3" t="n"/>
    </row>
    <row r="802">
      <c r="A802" s="6" t="n">
        <v>45962</v>
      </c>
      <c r="B802" s="3" t="inlineStr">
        <is>
          <t>Wages Expenses</t>
        </is>
      </c>
      <c r="C802" s="3" t="inlineStr">
        <is>
          <t>MARCO ANTONIO PEREIRA DO ESPIRITO SANTO</t>
        </is>
      </c>
      <c r="D802" s="3" t="inlineStr">
        <is>
          <t>NF XX - SERVIÇOS PRESTADOS</t>
        </is>
      </c>
      <c r="E802" s="3" t="n">
        <v>-3397.33</v>
      </c>
      <c r="F802" s="3" t="inlineStr">
        <is>
          <t>Débito</t>
        </is>
      </c>
      <c r="G802" s="3" t="inlineStr">
        <is>
          <t>Prestador de Serviço PJ (Com NF)</t>
        </is>
      </c>
      <c r="H802" s="3" t="inlineStr">
        <is>
          <t>2025-11</t>
        </is>
      </c>
      <c r="I802" s="3" t="n"/>
      <c r="J802" s="3" t="n"/>
    </row>
    <row r="803">
      <c r="A803" s="6" t="n">
        <v>45962</v>
      </c>
      <c r="B803" s="3" t="inlineStr">
        <is>
          <t>Wages Expenses</t>
        </is>
      </c>
      <c r="C803" s="3" t="inlineStr">
        <is>
          <t>VITORIA DE OLIVEIRA FERREIRA CORREA</t>
        </is>
      </c>
      <c r="D803" s="3" t="inlineStr">
        <is>
          <t xml:space="preserve">NF  XX - SERVIÇOS PRESTADOS </t>
        </is>
      </c>
      <c r="E803" s="3" t="n">
        <v>-12000</v>
      </c>
      <c r="F803" s="3" t="inlineStr">
        <is>
          <t>Débito</t>
        </is>
      </c>
      <c r="G803" s="3" t="inlineStr">
        <is>
          <t>Prestador de Serviço PJ (Com NF)</t>
        </is>
      </c>
      <c r="H803" s="3" t="inlineStr">
        <is>
          <t>2025-11</t>
        </is>
      </c>
      <c r="I803" s="3" t="n"/>
      <c r="J803" s="3" t="n"/>
    </row>
    <row r="804">
      <c r="A804" s="6" t="n">
        <v>45962</v>
      </c>
      <c r="B804" s="3" t="inlineStr">
        <is>
          <t>Wages Expenses</t>
        </is>
      </c>
      <c r="C804" s="3" t="inlineStr">
        <is>
          <t>BEATRIZ MATHIDIOS DE OLIVEIRA</t>
        </is>
      </c>
      <c r="D804" s="3" t="inlineStr">
        <is>
          <t>NF XX - SERVIÇOS PRESTADOS</t>
        </is>
      </c>
      <c r="E804" s="3" t="n">
        <v>-3225</v>
      </c>
      <c r="F804" s="3" t="inlineStr">
        <is>
          <t>Débito</t>
        </is>
      </c>
      <c r="G804" s="3" t="inlineStr">
        <is>
          <t>Prestador de Serviço PJ (Com NF)</t>
        </is>
      </c>
      <c r="H804" s="3" t="inlineStr">
        <is>
          <t>2025-11</t>
        </is>
      </c>
      <c r="I804" s="3" t="n"/>
      <c r="J804" s="3" t="n"/>
    </row>
    <row r="805">
      <c r="A805" s="6" t="n">
        <v>45962</v>
      </c>
      <c r="B805" s="3" t="inlineStr">
        <is>
          <t>Wages Expenses</t>
        </is>
      </c>
      <c r="C805" s="3" t="inlineStr">
        <is>
          <t>GABRIEL CANTARIN SIMOES</t>
        </is>
      </c>
      <c r="D805" s="3" t="inlineStr">
        <is>
          <t>NF XX - SERVIÇOS PRESTADOS</t>
        </is>
      </c>
      <c r="E805" s="3" t="n">
        <v>-20000</v>
      </c>
      <c r="F805" s="3" t="inlineStr">
        <is>
          <t>Débito</t>
        </is>
      </c>
      <c r="G805" s="3" t="inlineStr">
        <is>
          <t>Prestador de Serviço PJ (Com NF)</t>
        </is>
      </c>
      <c r="H805" s="3" t="inlineStr">
        <is>
          <t>2025-11</t>
        </is>
      </c>
      <c r="I805" s="3" t="n"/>
      <c r="J805" s="3" t="n"/>
    </row>
    <row r="806">
      <c r="A806" s="6" t="n">
        <v>45962</v>
      </c>
      <c r="B806" s="3" t="inlineStr">
        <is>
          <t>Wages Expenses</t>
        </is>
      </c>
      <c r="C806" s="3" t="inlineStr">
        <is>
          <t>NUVATE (FILIPI RAFAEL)</t>
        </is>
      </c>
      <c r="D806" s="3" t="inlineStr">
        <is>
          <t xml:space="preserve">NF  XX - SERVIÇOS PRESTADOS </t>
        </is>
      </c>
      <c r="E806" s="3" t="n">
        <v>-9000</v>
      </c>
      <c r="F806" s="3" t="inlineStr">
        <is>
          <t>Débito</t>
        </is>
      </c>
      <c r="G806" s="3" t="inlineStr">
        <is>
          <t>Prestador de Serviço PJ (Com NF)</t>
        </is>
      </c>
      <c r="H806" s="3" t="inlineStr">
        <is>
          <t>2025-11</t>
        </is>
      </c>
      <c r="I806" s="3" t="n"/>
      <c r="J806" s="3" t="n"/>
    </row>
    <row r="807">
      <c r="A807" s="6" t="n">
        <v>45962</v>
      </c>
      <c r="B807" s="3" t="inlineStr">
        <is>
          <t>Wages Expenses</t>
        </is>
      </c>
      <c r="C807" s="3" t="inlineStr">
        <is>
          <t>JONAS JERONIMO CHAVES DE SOUSA</t>
        </is>
      </c>
      <c r="D807" s="3" t="inlineStr">
        <is>
          <t xml:space="preserve">NF  XX - SERVIÇOS PRESTADOS </t>
        </is>
      </c>
      <c r="E807" s="3" t="n">
        <v>-8000</v>
      </c>
      <c r="F807" s="3" t="inlineStr">
        <is>
          <t>Débito</t>
        </is>
      </c>
      <c r="G807" s="3" t="inlineStr">
        <is>
          <t>Prestador de Serviço PJ (Com NF)</t>
        </is>
      </c>
      <c r="H807" s="3" t="inlineStr">
        <is>
          <t>2025-11</t>
        </is>
      </c>
      <c r="I807" s="3" t="n"/>
      <c r="J807" s="3" t="n"/>
    </row>
    <row r="808">
      <c r="A808" s="6" t="n">
        <v>45962</v>
      </c>
      <c r="B808" s="3" t="inlineStr">
        <is>
          <t>Wages Expenses</t>
        </is>
      </c>
      <c r="C808" s="3" t="inlineStr">
        <is>
          <t>MANASSES QUEIROZ SILVA</t>
        </is>
      </c>
      <c r="D808" s="3" t="inlineStr">
        <is>
          <t xml:space="preserve">NF  XX - SERVIÇOS PRESTADOS </t>
        </is>
      </c>
      <c r="E808" s="3" t="n">
        <v>-2969.9</v>
      </c>
      <c r="F808" s="3" t="inlineStr">
        <is>
          <t>Débito</t>
        </is>
      </c>
      <c r="G808" s="3" t="inlineStr">
        <is>
          <t>Prestador de Serviço PJ (Com NF)</t>
        </is>
      </c>
      <c r="H808" s="3" t="inlineStr">
        <is>
          <t>2025-11</t>
        </is>
      </c>
      <c r="I808" s="3" t="n"/>
      <c r="J808" s="3" t="n"/>
    </row>
    <row r="809">
      <c r="A809" s="6" t="n">
        <v>45962</v>
      </c>
      <c r="B809" s="3" t="inlineStr">
        <is>
          <t>Legal &amp; Accounting Expenses</t>
        </is>
      </c>
      <c r="C809" s="3" t="inlineStr">
        <is>
          <t>WOLFF E SCRIPES ADVOGADOS</t>
        </is>
      </c>
      <c r="D809" s="3" t="inlineStr">
        <is>
          <t xml:space="preserve">NF XX - HONORÁRIOS ADVOCATÍCIOS </t>
        </is>
      </c>
      <c r="E809" s="3" t="n">
        <v>-324.84</v>
      </c>
      <c r="F809" s="3" t="inlineStr">
        <is>
          <t>Débito</t>
        </is>
      </c>
      <c r="G809" s="3" t="inlineStr">
        <is>
          <t>Honorários Advocatícios</t>
        </is>
      </c>
      <c r="H809" s="3" t="inlineStr">
        <is>
          <t>2025-11</t>
        </is>
      </c>
      <c r="I809" s="3" t="n"/>
      <c r="J809" s="3" t="n"/>
    </row>
    <row r="810">
      <c r="A810" s="6" t="n">
        <v>45962</v>
      </c>
      <c r="B810" s="3" t="inlineStr">
        <is>
          <t>Office Expenses</t>
        </is>
      </c>
      <c r="C810" s="3" t="inlineStr">
        <is>
          <t>GO OFFICES LATAM S/A</t>
        </is>
      </c>
      <c r="D810" s="3" t="inlineStr">
        <is>
          <t>RECIBO XX - REF. ALUGUEL MENSAL</t>
        </is>
      </c>
      <c r="E810" s="3" t="n">
        <v>-7650</v>
      </c>
      <c r="F810" s="3" t="inlineStr">
        <is>
          <t>Débito</t>
        </is>
      </c>
      <c r="G810" s="3" t="inlineStr">
        <is>
          <t>Aluguel</t>
        </is>
      </c>
      <c r="H810" s="3" t="inlineStr">
        <is>
          <t>2025-11</t>
        </is>
      </c>
      <c r="I810" s="3" t="n"/>
      <c r="J810" s="3" t="n"/>
    </row>
    <row r="811">
      <c r="A811" s="6" t="n">
        <v>45962</v>
      </c>
      <c r="B811" s="3" t="inlineStr">
        <is>
          <t>Office Expenses</t>
        </is>
      </c>
      <c r="C811" s="3" t="inlineStr">
        <is>
          <t>CO-SERVICES DO BRASIL  SERVICOS COMBINADOS DE APOIO A EDIFICIOS LTDA</t>
        </is>
      </c>
      <c r="D811" s="3" t="inlineStr">
        <is>
          <t>NF XX - REF. SERVIÇOS DE FACILITES</t>
        </is>
      </c>
      <c r="E811" s="3" t="n">
        <v>-739.5</v>
      </c>
      <c r="F811" s="3" t="inlineStr">
        <is>
          <t>Débito</t>
        </is>
      </c>
      <c r="G811" s="3" t="inlineStr">
        <is>
          <t>Aluguel</t>
        </is>
      </c>
      <c r="H811" s="3" t="inlineStr">
        <is>
          <t>2025-11</t>
        </is>
      </c>
      <c r="I811" s="3" t="n"/>
      <c r="J811" s="3" t="n"/>
    </row>
    <row r="812">
      <c r="A812" s="6" t="n">
        <v>45962</v>
      </c>
      <c r="B812" s="3" t="inlineStr">
        <is>
          <t>Other Taxes</t>
        </is>
      </c>
      <c r="C812" s="3" t="inlineStr">
        <is>
          <t>IMPOSTOS/TRIBUTOS</t>
        </is>
      </c>
      <c r="D812" s="3" t="inlineStr">
        <is>
          <t>SIMPLES NACIONAL - DAS</t>
        </is>
      </c>
      <c r="E812" s="3" t="n">
        <v>-69026.94</v>
      </c>
      <c r="F812" s="3" t="inlineStr">
        <is>
          <t>Débito</t>
        </is>
      </c>
      <c r="G812" s="3" t="inlineStr">
        <is>
          <t>Simples Nacional - DAS</t>
        </is>
      </c>
      <c r="H812" s="3" t="inlineStr">
        <is>
          <t>2025-11</t>
        </is>
      </c>
      <c r="I812" s="3" t="n"/>
      <c r="J812" s="3" t="n"/>
    </row>
    <row r="813">
      <c r="A813" s="6" t="n">
        <v>45962</v>
      </c>
      <c r="B813" s="3" t="inlineStr">
        <is>
          <t>Payroll Tax - Brazil</t>
        </is>
      </c>
      <c r="C813" s="3" t="inlineStr">
        <is>
          <t>IMPOSTOS/TRIBUTOS</t>
        </is>
      </c>
      <c r="D813" s="3" t="inlineStr">
        <is>
          <t xml:space="preserve">RECEITA FEDERAL/SP - DARF INSS </t>
        </is>
      </c>
      <c r="E813" s="3" t="n">
        <v>-93.5</v>
      </c>
      <c r="F813" s="3" t="inlineStr">
        <is>
          <t>Débito</t>
        </is>
      </c>
      <c r="G813" s="3" t="inlineStr">
        <is>
          <t>Retenção - GPS 2631 - INSS</t>
        </is>
      </c>
      <c r="H813" s="3" t="inlineStr">
        <is>
          <t>2025-11</t>
        </is>
      </c>
      <c r="I813" s="3" t="n"/>
      <c r="J813" s="3" t="n"/>
    </row>
    <row r="814">
      <c r="A814" s="6" t="n">
        <v>45962</v>
      </c>
      <c r="B814" s="3" t="inlineStr">
        <is>
          <t>Payroll Tax - Brazil</t>
        </is>
      </c>
      <c r="C814" s="3" t="inlineStr">
        <is>
          <t>IMPOSTOS/TRIBUTOS</t>
        </is>
      </c>
      <c r="D814" s="3" t="inlineStr">
        <is>
          <t xml:space="preserve">RECEITA FEDERAL/SP - DARF INSS </t>
        </is>
      </c>
      <c r="E814" s="3" t="n">
        <v>-166.98</v>
      </c>
      <c r="F814" s="3" t="inlineStr">
        <is>
          <t>Débito</t>
        </is>
      </c>
      <c r="G814" s="3" t="inlineStr">
        <is>
          <t>INSS sobre Pró-labore - GPS</t>
        </is>
      </c>
      <c r="H814" s="3" t="inlineStr">
        <is>
          <t>2025-11</t>
        </is>
      </c>
      <c r="I814" s="3" t="n"/>
      <c r="J814" s="3" t="n"/>
    </row>
    <row r="815">
      <c r="A815" s="6" t="n">
        <v>45962</v>
      </c>
      <c r="B815" s="3" t="inlineStr">
        <is>
          <t>Other Taxes</t>
        </is>
      </c>
      <c r="C815" s="3" t="inlineStr">
        <is>
          <t>IMPOSTOS/TRIBUTOS</t>
        </is>
      </c>
      <c r="D815" s="3" t="inlineStr">
        <is>
          <t>SIMPLES NACIONAL - DAS PARCELAMENTO DIVIDA ATIVA MUNICIPAL</t>
        </is>
      </c>
      <c r="E815" s="3" t="n">
        <v>-210.44</v>
      </c>
      <c r="F815" s="3" t="inlineStr">
        <is>
          <t>Débito</t>
        </is>
      </c>
      <c r="G815" s="3" t="inlineStr">
        <is>
          <t>Simples Nacional - DAS</t>
        </is>
      </c>
      <c r="H815" s="3" t="inlineStr">
        <is>
          <t>2025-11</t>
        </is>
      </c>
      <c r="I815" s="3" t="n"/>
      <c r="J815" s="3" t="n"/>
    </row>
    <row r="816">
      <c r="A816" s="6" t="n">
        <v>45962</v>
      </c>
      <c r="B816" s="3" t="inlineStr">
        <is>
          <t>Other Taxes</t>
        </is>
      </c>
      <c r="C816" s="3" t="inlineStr">
        <is>
          <t>IMPOSTOS/TRIBUTOS</t>
        </is>
      </c>
      <c r="D816" s="3" t="inlineStr">
        <is>
          <t>SIMPLES NACIONAL - DAS PARCELAMENTO SIMPLES NACIONAL</t>
        </is>
      </c>
      <c r="E816" s="3" t="n">
        <v>-5109.51</v>
      </c>
      <c r="F816" s="3" t="inlineStr">
        <is>
          <t>Débito</t>
        </is>
      </c>
      <c r="G816" s="3" t="inlineStr">
        <is>
          <t>Simples Nacional - DAS</t>
        </is>
      </c>
      <c r="H816" s="3" t="inlineStr">
        <is>
          <t>2025-11</t>
        </is>
      </c>
      <c r="I816" s="3" t="n"/>
      <c r="J816" s="3" t="n"/>
    </row>
    <row r="817">
      <c r="A817" s="6" t="n">
        <v>45962</v>
      </c>
      <c r="B817" s="3" t="inlineStr">
        <is>
          <t>Other Taxes</t>
        </is>
      </c>
      <c r="C817" s="3" t="inlineStr">
        <is>
          <t>IMPOSTOS/TRIBUTOS</t>
        </is>
      </c>
      <c r="D817" s="3" t="inlineStr">
        <is>
          <t xml:space="preserve">SIMPLES NACIONAL - DAS PARCELAMENTO DIVIDA ATIVA </t>
        </is>
      </c>
      <c r="E817" s="3" t="n">
        <v>-794.23</v>
      </c>
      <c r="F817" s="3" t="inlineStr">
        <is>
          <t>Débito</t>
        </is>
      </c>
      <c r="G817" s="3" t="inlineStr">
        <is>
          <t>Simples Nacional - DAS</t>
        </is>
      </c>
      <c r="H817" s="3" t="inlineStr">
        <is>
          <t>2025-11</t>
        </is>
      </c>
      <c r="I817" s="3" t="n"/>
      <c r="J817" s="3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DEMONSTRAÇÃO DO RESULTADO DO EXERCÍCIO (DRE)</t>
        </is>
      </c>
    </row>
    <row r="3">
      <c r="A3" s="18" t="inlineStr">
        <is>
          <t>Linha DRE</t>
        </is>
      </c>
      <c r="B3" s="18" t="inlineStr">
        <is>
          <t>Unidade</t>
        </is>
      </c>
      <c r="C3" s="2" t="inlineStr">
        <is>
          <t>05/2024</t>
        </is>
      </c>
      <c r="D3" s="2" t="inlineStr">
        <is>
          <t>06/2024</t>
        </is>
      </c>
      <c r="E3" s="2" t="inlineStr">
        <is>
          <t>07/2024</t>
        </is>
      </c>
      <c r="F3" s="2" t="inlineStr">
        <is>
          <t>08/2024</t>
        </is>
      </c>
      <c r="G3" s="2" t="inlineStr">
        <is>
          <t>09/2024</t>
        </is>
      </c>
      <c r="H3" s="2" t="inlineStr">
        <is>
          <t>10/2024</t>
        </is>
      </c>
      <c r="I3" s="2" t="inlineStr">
        <is>
          <t>11/2024</t>
        </is>
      </c>
      <c r="J3" s="2" t="inlineStr">
        <is>
          <t>12/2024</t>
        </is>
      </c>
      <c r="K3" s="2" t="inlineStr">
        <is>
          <t>01/2025</t>
        </is>
      </c>
      <c r="L3" s="2" t="inlineStr">
        <is>
          <t>02/2025</t>
        </is>
      </c>
      <c r="M3" s="2" t="inlineStr">
        <is>
          <t>03/2025</t>
        </is>
      </c>
      <c r="N3" s="2" t="inlineStr">
        <is>
          <t>04/2025</t>
        </is>
      </c>
      <c r="O3" s="2" t="inlineStr">
        <is>
          <t>05/2025</t>
        </is>
      </c>
      <c r="P3" s="2" t="inlineStr">
        <is>
          <t>06/2025</t>
        </is>
      </c>
      <c r="Q3" s="2" t="inlineStr">
        <is>
          <t>07/2025</t>
        </is>
      </c>
      <c r="R3" s="2" t="inlineStr">
        <is>
          <t>08/2025</t>
        </is>
      </c>
      <c r="S3" s="2" t="inlineStr">
        <is>
          <t>09/2025</t>
        </is>
      </c>
      <c r="T3" s="2" t="inlineStr">
        <is>
          <t>10/2025</t>
        </is>
      </c>
    </row>
    <row r="5">
      <c r="A5" s="10" t="inlineStr">
        <is>
          <t>RECEITA OPERACIONAL BRUTA</t>
        </is>
      </c>
      <c r="B5" s="3" t="inlineStr">
        <is>
          <t>BRL</t>
        </is>
      </c>
      <c r="C5" s="9">
        <f>'P&amp;L'!C24</f>
        <v/>
      </c>
      <c r="D5" s="9">
        <f>'P&amp;L'!D24</f>
        <v/>
      </c>
      <c r="E5" s="9">
        <f>'P&amp;L'!E24</f>
        <v/>
      </c>
      <c r="F5" s="9">
        <f>'P&amp;L'!F24</f>
        <v/>
      </c>
      <c r="G5" s="9">
        <f>'P&amp;L'!G24</f>
        <v/>
      </c>
      <c r="H5" s="9">
        <f>'P&amp;L'!H24</f>
        <v/>
      </c>
      <c r="I5" s="9">
        <f>'P&amp;L'!I24</f>
        <v/>
      </c>
      <c r="J5" s="9">
        <f>'P&amp;L'!J24</f>
        <v/>
      </c>
      <c r="K5" s="9">
        <f>'P&amp;L'!K24</f>
        <v/>
      </c>
      <c r="L5" s="9">
        <f>'P&amp;L'!L24</f>
        <v/>
      </c>
      <c r="M5" s="9">
        <f>'P&amp;L'!M24</f>
        <v/>
      </c>
      <c r="N5" s="9">
        <f>'P&amp;L'!N24</f>
        <v/>
      </c>
      <c r="O5" s="9">
        <f>'P&amp;L'!O24</f>
        <v/>
      </c>
      <c r="P5" s="9">
        <f>'P&amp;L'!P24</f>
        <v/>
      </c>
      <c r="Q5" s="9">
        <f>'P&amp;L'!Q24</f>
        <v/>
      </c>
      <c r="R5" s="9">
        <f>'P&amp;L'!R24</f>
        <v/>
      </c>
      <c r="S5" s="9">
        <f>'P&amp;L'!S24</f>
        <v/>
      </c>
      <c r="T5" s="9">
        <f>'P&amp;L'!T24</f>
        <v/>
      </c>
    </row>
    <row r="6">
      <c r="A6" s="19" t="inlineStr">
        <is>
          <t xml:space="preserve">     Receita de Vendas (Google + Apple)</t>
        </is>
      </c>
      <c r="B6" s="3" t="inlineStr">
        <is>
          <t>BRL</t>
        </is>
      </c>
      <c r="C6" s="9">
        <f>'P&amp;L'!C25</f>
        <v/>
      </c>
      <c r="D6" s="9">
        <f>'P&amp;L'!D25</f>
        <v/>
      </c>
      <c r="E6" s="9">
        <f>'P&amp;L'!E25</f>
        <v/>
      </c>
      <c r="F6" s="9">
        <f>'P&amp;L'!F25</f>
        <v/>
      </c>
      <c r="G6" s="9">
        <f>'P&amp;L'!G25</f>
        <v/>
      </c>
      <c r="H6" s="9">
        <f>'P&amp;L'!H25</f>
        <v/>
      </c>
      <c r="I6" s="9">
        <f>'P&amp;L'!I25</f>
        <v/>
      </c>
      <c r="J6" s="9">
        <f>'P&amp;L'!J25</f>
        <v/>
      </c>
      <c r="K6" s="9">
        <f>'P&amp;L'!K25</f>
        <v/>
      </c>
      <c r="L6" s="9">
        <f>'P&amp;L'!L25</f>
        <v/>
      </c>
      <c r="M6" s="9">
        <f>'P&amp;L'!M25</f>
        <v/>
      </c>
      <c r="N6" s="9">
        <f>'P&amp;L'!N25</f>
        <v/>
      </c>
      <c r="O6" s="9">
        <f>'P&amp;L'!O25</f>
        <v/>
      </c>
      <c r="P6" s="9">
        <f>'P&amp;L'!P25</f>
        <v/>
      </c>
      <c r="Q6" s="9">
        <f>'P&amp;L'!Q25</f>
        <v/>
      </c>
      <c r="R6" s="9">
        <f>'P&amp;L'!R25</f>
        <v/>
      </c>
      <c r="S6" s="9">
        <f>'P&amp;L'!S25</f>
        <v/>
      </c>
      <c r="T6" s="9">
        <f>'P&amp;L'!T25</f>
        <v/>
      </c>
    </row>
    <row r="7">
      <c r="A7" s="19" t="inlineStr">
        <is>
          <t xml:space="preserve">     Rendimentos de Aplicações</t>
        </is>
      </c>
      <c r="B7" s="3" t="inlineStr">
        <is>
          <t>BRL</t>
        </is>
      </c>
      <c r="C7" s="9">
        <f>'P&amp;L'!C42</f>
        <v/>
      </c>
      <c r="D7" s="9">
        <f>'P&amp;L'!D42</f>
        <v/>
      </c>
      <c r="E7" s="9">
        <f>'P&amp;L'!E42</f>
        <v/>
      </c>
      <c r="F7" s="9">
        <f>'P&amp;L'!F42</f>
        <v/>
      </c>
      <c r="G7" s="9">
        <f>'P&amp;L'!G42</f>
        <v/>
      </c>
      <c r="H7" s="9">
        <f>'P&amp;L'!H42</f>
        <v/>
      </c>
      <c r="I7" s="9">
        <f>'P&amp;L'!I42</f>
        <v/>
      </c>
      <c r="J7" s="9">
        <f>'P&amp;L'!J42</f>
        <v/>
      </c>
      <c r="K7" s="9">
        <f>'P&amp;L'!K42</f>
        <v/>
      </c>
      <c r="L7" s="9">
        <f>'P&amp;L'!L42</f>
        <v/>
      </c>
      <c r="M7" s="9">
        <f>'P&amp;L'!M42</f>
        <v/>
      </c>
      <c r="N7" s="9">
        <f>'P&amp;L'!N42</f>
        <v/>
      </c>
      <c r="O7" s="9">
        <f>'P&amp;L'!O42</f>
        <v/>
      </c>
      <c r="P7" s="9">
        <f>'P&amp;L'!P42</f>
        <v/>
      </c>
      <c r="Q7" s="9">
        <f>'P&amp;L'!Q42</f>
        <v/>
      </c>
      <c r="R7" s="9">
        <f>'P&amp;L'!R42</f>
        <v/>
      </c>
      <c r="S7" s="9">
        <f>'P&amp;L'!S42</f>
        <v/>
      </c>
      <c r="T7" s="9">
        <f>'P&amp;L'!T42</f>
        <v/>
      </c>
    </row>
    <row r="8">
      <c r="A8" t="inlineStr"/>
      <c r="B8" t="inlineStr"/>
    </row>
    <row r="9">
      <c r="A9" s="20" t="inlineStr">
        <is>
          <t>(-) CUSTOS DIRETOS</t>
        </is>
      </c>
      <c r="B9" s="3" t="inlineStr">
        <is>
          <t>BRL</t>
        </is>
      </c>
      <c r="C9" s="9">
        <f>'P&amp;L'!C44</f>
        <v/>
      </c>
      <c r="D9" s="9">
        <f>'P&amp;L'!D44</f>
        <v/>
      </c>
      <c r="E9" s="9">
        <f>'P&amp;L'!E44</f>
        <v/>
      </c>
      <c r="F9" s="9">
        <f>'P&amp;L'!F44</f>
        <v/>
      </c>
      <c r="G9" s="9">
        <f>'P&amp;L'!G44</f>
        <v/>
      </c>
      <c r="H9" s="9">
        <f>'P&amp;L'!H44</f>
        <v/>
      </c>
      <c r="I9" s="9">
        <f>'P&amp;L'!I44</f>
        <v/>
      </c>
      <c r="J9" s="9">
        <f>'P&amp;L'!J44</f>
        <v/>
      </c>
      <c r="K9" s="9">
        <f>'P&amp;L'!K44</f>
        <v/>
      </c>
      <c r="L9" s="9">
        <f>'P&amp;L'!L44</f>
        <v/>
      </c>
      <c r="M9" s="9">
        <f>'P&amp;L'!M44</f>
        <v/>
      </c>
      <c r="N9" s="9">
        <f>'P&amp;L'!N44</f>
        <v/>
      </c>
      <c r="O9" s="9">
        <f>'P&amp;L'!O44</f>
        <v/>
      </c>
      <c r="P9" s="9">
        <f>'P&amp;L'!P44</f>
        <v/>
      </c>
      <c r="Q9" s="9">
        <f>'P&amp;L'!Q44</f>
        <v/>
      </c>
      <c r="R9" s="9">
        <f>'P&amp;L'!R44</f>
        <v/>
      </c>
      <c r="S9" s="9">
        <f>'P&amp;L'!S44</f>
        <v/>
      </c>
      <c r="T9" s="9">
        <f>'P&amp;L'!T44</f>
        <v/>
      </c>
    </row>
    <row r="10">
      <c r="A10" s="19" t="inlineStr">
        <is>
          <t xml:space="preserve">     Payment Processing</t>
        </is>
      </c>
      <c r="B10" s="3" t="inlineStr">
        <is>
          <t>BRL</t>
        </is>
      </c>
      <c r="C10" s="9">
        <f>'P&amp;L'!C45</f>
        <v/>
      </c>
      <c r="D10" s="9">
        <f>'P&amp;L'!D45</f>
        <v/>
      </c>
      <c r="E10" s="9">
        <f>'P&amp;L'!E45</f>
        <v/>
      </c>
      <c r="F10" s="9">
        <f>'P&amp;L'!F45</f>
        <v/>
      </c>
      <c r="G10" s="9">
        <f>'P&amp;L'!G45</f>
        <v/>
      </c>
      <c r="H10" s="9">
        <f>'P&amp;L'!H45</f>
        <v/>
      </c>
      <c r="I10" s="9">
        <f>'P&amp;L'!I45</f>
        <v/>
      </c>
      <c r="J10" s="9">
        <f>'P&amp;L'!J45</f>
        <v/>
      </c>
      <c r="K10" s="9">
        <f>'P&amp;L'!K45</f>
        <v/>
      </c>
      <c r="L10" s="9">
        <f>'P&amp;L'!L45</f>
        <v/>
      </c>
      <c r="M10" s="9">
        <f>'P&amp;L'!M45</f>
        <v/>
      </c>
      <c r="N10" s="9">
        <f>'P&amp;L'!N45</f>
        <v/>
      </c>
      <c r="O10" s="9">
        <f>'P&amp;L'!O45</f>
        <v/>
      </c>
      <c r="P10" s="9">
        <f>'P&amp;L'!P45</f>
        <v/>
      </c>
      <c r="Q10" s="9">
        <f>'P&amp;L'!Q45</f>
        <v/>
      </c>
      <c r="R10" s="9">
        <f>'P&amp;L'!R45</f>
        <v/>
      </c>
      <c r="S10" s="9">
        <f>'P&amp;L'!S45</f>
        <v/>
      </c>
      <c r="T10" s="9">
        <f>'P&amp;L'!T45</f>
        <v/>
      </c>
    </row>
    <row r="11">
      <c r="A11" s="19" t="inlineStr">
        <is>
          <t xml:space="preserve">     COGS (Custo dos Produtos Vendidos)</t>
        </is>
      </c>
      <c r="B11" s="3" t="inlineStr">
        <is>
          <t>BRL</t>
        </is>
      </c>
      <c r="C11" s="9">
        <f>'P&amp;L'!C46</f>
        <v/>
      </c>
      <c r="D11" s="9">
        <f>'P&amp;L'!D46</f>
        <v/>
      </c>
      <c r="E11" s="9">
        <f>'P&amp;L'!E46</f>
        <v/>
      </c>
      <c r="F11" s="9">
        <f>'P&amp;L'!F46</f>
        <v/>
      </c>
      <c r="G11" s="9">
        <f>'P&amp;L'!G46</f>
        <v/>
      </c>
      <c r="H11" s="9">
        <f>'P&amp;L'!H46</f>
        <v/>
      </c>
      <c r="I11" s="9">
        <f>'P&amp;L'!I46</f>
        <v/>
      </c>
      <c r="J11" s="9">
        <f>'P&amp;L'!J46</f>
        <v/>
      </c>
      <c r="K11" s="9">
        <f>'P&amp;L'!K46</f>
        <v/>
      </c>
      <c r="L11" s="9">
        <f>'P&amp;L'!L46</f>
        <v/>
      </c>
      <c r="M11" s="9">
        <f>'P&amp;L'!M46</f>
        <v/>
      </c>
      <c r="N11" s="9">
        <f>'P&amp;L'!N46</f>
        <v/>
      </c>
      <c r="O11" s="9">
        <f>'P&amp;L'!O46</f>
        <v/>
      </c>
      <c r="P11" s="9">
        <f>'P&amp;L'!P46</f>
        <v/>
      </c>
      <c r="Q11" s="9">
        <f>'P&amp;L'!Q46</f>
        <v/>
      </c>
      <c r="R11" s="9">
        <f>'P&amp;L'!R46</f>
        <v/>
      </c>
      <c r="S11" s="9">
        <f>'P&amp;L'!S46</f>
        <v/>
      </c>
      <c r="T11" s="9">
        <f>'P&amp;L'!T46</f>
        <v/>
      </c>
    </row>
    <row r="12">
      <c r="A12" t="inlineStr"/>
      <c r="B12" t="inlineStr"/>
    </row>
    <row r="13">
      <c r="A13" s="10" t="inlineStr">
        <is>
          <t>(=) LUCRO BRUTO</t>
        </is>
      </c>
      <c r="B13" s="3" t="inlineStr">
        <is>
          <t>BRL</t>
        </is>
      </c>
      <c r="C13" s="9">
        <f>'P&amp;L'!C54</f>
        <v/>
      </c>
      <c r="D13" s="9">
        <f>'P&amp;L'!D54</f>
        <v/>
      </c>
      <c r="E13" s="9">
        <f>'P&amp;L'!E54</f>
        <v/>
      </c>
      <c r="F13" s="9">
        <f>'P&amp;L'!F54</f>
        <v/>
      </c>
      <c r="G13" s="9">
        <f>'P&amp;L'!G54</f>
        <v/>
      </c>
      <c r="H13" s="9">
        <f>'P&amp;L'!H54</f>
        <v/>
      </c>
      <c r="I13" s="9">
        <f>'P&amp;L'!I54</f>
        <v/>
      </c>
      <c r="J13" s="9">
        <f>'P&amp;L'!J54</f>
        <v/>
      </c>
      <c r="K13" s="9">
        <f>'P&amp;L'!K54</f>
        <v/>
      </c>
      <c r="L13" s="9">
        <f>'P&amp;L'!L54</f>
        <v/>
      </c>
      <c r="M13" s="9">
        <f>'P&amp;L'!M54</f>
        <v/>
      </c>
      <c r="N13" s="9">
        <f>'P&amp;L'!N54</f>
        <v/>
      </c>
      <c r="O13" s="9">
        <f>'P&amp;L'!O54</f>
        <v/>
      </c>
      <c r="P13" s="9">
        <f>'P&amp;L'!P54</f>
        <v/>
      </c>
      <c r="Q13" s="9">
        <f>'P&amp;L'!Q54</f>
        <v/>
      </c>
      <c r="R13" s="9">
        <f>'P&amp;L'!R54</f>
        <v/>
      </c>
      <c r="S13" s="9">
        <f>'P&amp;L'!S54</f>
        <v/>
      </c>
      <c r="T13" s="9">
        <f>'P&amp;L'!T54</f>
        <v/>
      </c>
    </row>
    <row r="14">
      <c r="A14" s="19" t="inlineStr">
        <is>
          <t xml:space="preserve">     Margem Bruta (%)</t>
        </is>
      </c>
      <c r="B14" s="3" t="inlineStr">
        <is>
          <t>%</t>
        </is>
      </c>
      <c r="C14" s="12">
        <f>'P&amp;L'!C55</f>
        <v/>
      </c>
      <c r="D14" s="12">
        <f>'P&amp;L'!D55</f>
        <v/>
      </c>
      <c r="E14" s="12">
        <f>'P&amp;L'!E55</f>
        <v/>
      </c>
      <c r="F14" s="12">
        <f>'P&amp;L'!F55</f>
        <v/>
      </c>
      <c r="G14" s="12">
        <f>'P&amp;L'!G55</f>
        <v/>
      </c>
      <c r="H14" s="12">
        <f>'P&amp;L'!H55</f>
        <v/>
      </c>
      <c r="I14" s="12">
        <f>'P&amp;L'!I55</f>
        <v/>
      </c>
      <c r="J14" s="12">
        <f>'P&amp;L'!J55</f>
        <v/>
      </c>
      <c r="K14" s="12">
        <f>'P&amp;L'!K55</f>
        <v/>
      </c>
      <c r="L14" s="12">
        <f>'P&amp;L'!L55</f>
        <v/>
      </c>
      <c r="M14" s="12">
        <f>'P&amp;L'!M55</f>
        <v/>
      </c>
      <c r="N14" s="12">
        <f>'P&amp;L'!N55</f>
        <v/>
      </c>
      <c r="O14" s="12">
        <f>'P&amp;L'!O55</f>
        <v/>
      </c>
      <c r="P14" s="12">
        <f>'P&amp;L'!P55</f>
        <v/>
      </c>
      <c r="Q14" s="12">
        <f>'P&amp;L'!Q55</f>
        <v/>
      </c>
      <c r="R14" s="12">
        <f>'P&amp;L'!R55</f>
        <v/>
      </c>
      <c r="S14" s="12">
        <f>'P&amp;L'!S55</f>
        <v/>
      </c>
      <c r="T14" s="12">
        <f>'P&amp;L'!T55</f>
        <v/>
      </c>
    </row>
    <row r="15">
      <c r="A15" t="inlineStr"/>
      <c r="B15" t="inlineStr"/>
    </row>
    <row r="16">
      <c r="A16" s="13" t="inlineStr">
        <is>
          <t>(-) DESPESAS OPERACIONAIS</t>
        </is>
      </c>
      <c r="B16" s="3" t="inlineStr">
        <is>
          <t>BRL</t>
        </is>
      </c>
      <c r="C16" s="9">
        <f>'P&amp;L'!C57</f>
        <v/>
      </c>
      <c r="D16" s="9">
        <f>'P&amp;L'!D57</f>
        <v/>
      </c>
      <c r="E16" s="9">
        <f>'P&amp;L'!E57</f>
        <v/>
      </c>
      <c r="F16" s="9">
        <f>'P&amp;L'!F57</f>
        <v/>
      </c>
      <c r="G16" s="9">
        <f>'P&amp;L'!G57</f>
        <v/>
      </c>
      <c r="H16" s="9">
        <f>'P&amp;L'!H57</f>
        <v/>
      </c>
      <c r="I16" s="9">
        <f>'P&amp;L'!I57</f>
        <v/>
      </c>
      <c r="J16" s="9">
        <f>'P&amp;L'!J57</f>
        <v/>
      </c>
      <c r="K16" s="9">
        <f>'P&amp;L'!K57</f>
        <v/>
      </c>
      <c r="L16" s="9">
        <f>'P&amp;L'!L57</f>
        <v/>
      </c>
      <c r="M16" s="9">
        <f>'P&amp;L'!M57</f>
        <v/>
      </c>
      <c r="N16" s="9">
        <f>'P&amp;L'!N57</f>
        <v/>
      </c>
      <c r="O16" s="9">
        <f>'P&amp;L'!O57</f>
        <v/>
      </c>
      <c r="P16" s="9">
        <f>'P&amp;L'!P57</f>
        <v/>
      </c>
      <c r="Q16" s="9">
        <f>'P&amp;L'!Q57</f>
        <v/>
      </c>
      <c r="R16" s="9">
        <f>'P&amp;L'!R57</f>
        <v/>
      </c>
      <c r="S16" s="9">
        <f>'P&amp;L'!S57</f>
        <v/>
      </c>
      <c r="T16" s="9">
        <f>'P&amp;L'!T57</f>
        <v/>
      </c>
    </row>
    <row r="17">
      <c r="A17" s="19" t="inlineStr">
        <is>
          <t xml:space="preserve">     R&amp;D</t>
        </is>
      </c>
      <c r="B17" s="3" t="inlineStr">
        <is>
          <t>BRL</t>
        </is>
      </c>
      <c r="C17" s="9">
        <f>'P&amp;L'!C58</f>
        <v/>
      </c>
      <c r="D17" s="9">
        <f>'P&amp;L'!D58</f>
        <v/>
      </c>
      <c r="E17" s="9">
        <f>'P&amp;L'!E58</f>
        <v/>
      </c>
      <c r="F17" s="9">
        <f>'P&amp;L'!F58</f>
        <v/>
      </c>
      <c r="G17" s="9">
        <f>'P&amp;L'!G58</f>
        <v/>
      </c>
      <c r="H17" s="9">
        <f>'P&amp;L'!H58</f>
        <v/>
      </c>
      <c r="I17" s="9">
        <f>'P&amp;L'!I58</f>
        <v/>
      </c>
      <c r="J17" s="9">
        <f>'P&amp;L'!J58</f>
        <v/>
      </c>
      <c r="K17" s="9">
        <f>'P&amp;L'!K58</f>
        <v/>
      </c>
      <c r="L17" s="9">
        <f>'P&amp;L'!L58</f>
        <v/>
      </c>
      <c r="M17" s="9">
        <f>'P&amp;L'!M58</f>
        <v/>
      </c>
      <c r="N17" s="9">
        <f>'P&amp;L'!N58</f>
        <v/>
      </c>
      <c r="O17" s="9">
        <f>'P&amp;L'!O58</f>
        <v/>
      </c>
      <c r="P17" s="9">
        <f>'P&amp;L'!P58</f>
        <v/>
      </c>
      <c r="Q17" s="9">
        <f>'P&amp;L'!Q58</f>
        <v/>
      </c>
      <c r="R17" s="9">
        <f>'P&amp;L'!R58</f>
        <v/>
      </c>
      <c r="S17" s="9">
        <f>'P&amp;L'!S58</f>
        <v/>
      </c>
      <c r="T17" s="9">
        <f>'P&amp;L'!T58</f>
        <v/>
      </c>
    </row>
    <row r="18">
      <c r="A18" s="19" t="inlineStr">
        <is>
          <t xml:space="preserve">     SG&amp;A</t>
        </is>
      </c>
      <c r="B18" s="3" t="inlineStr">
        <is>
          <t>BRL</t>
        </is>
      </c>
      <c r="C18" s="9">
        <f>'P&amp;L'!C59</f>
        <v/>
      </c>
      <c r="D18" s="9">
        <f>'P&amp;L'!D59</f>
        <v/>
      </c>
      <c r="E18" s="9">
        <f>'P&amp;L'!E59</f>
        <v/>
      </c>
      <c r="F18" s="9">
        <f>'P&amp;L'!F59</f>
        <v/>
      </c>
      <c r="G18" s="9">
        <f>'P&amp;L'!G59</f>
        <v/>
      </c>
      <c r="H18" s="9">
        <f>'P&amp;L'!H59</f>
        <v/>
      </c>
      <c r="I18" s="9">
        <f>'P&amp;L'!I59</f>
        <v/>
      </c>
      <c r="J18" s="9">
        <f>'P&amp;L'!J59</f>
        <v/>
      </c>
      <c r="K18" s="9">
        <f>'P&amp;L'!K59</f>
        <v/>
      </c>
      <c r="L18" s="9">
        <f>'P&amp;L'!L59</f>
        <v/>
      </c>
      <c r="M18" s="9">
        <f>'P&amp;L'!M59</f>
        <v/>
      </c>
      <c r="N18" s="9">
        <f>'P&amp;L'!N59</f>
        <v/>
      </c>
      <c r="O18" s="9">
        <f>'P&amp;L'!O59</f>
        <v/>
      </c>
      <c r="P18" s="9">
        <f>'P&amp;L'!P59</f>
        <v/>
      </c>
      <c r="Q18" s="9">
        <f>'P&amp;L'!Q59</f>
        <v/>
      </c>
      <c r="R18" s="9">
        <f>'P&amp;L'!R59</f>
        <v/>
      </c>
      <c r="S18" s="9">
        <f>'P&amp;L'!S59</f>
        <v/>
      </c>
      <c r="T18" s="9">
        <f>'P&amp;L'!T59</f>
        <v/>
      </c>
    </row>
    <row r="19">
      <c r="A19" s="19" t="inlineStr">
        <is>
          <t xml:space="preserve">          Marketing</t>
        </is>
      </c>
      <c r="B19" s="3" t="inlineStr">
        <is>
          <t>BRL</t>
        </is>
      </c>
      <c r="C19" s="9">
        <f>'P&amp;L'!C60</f>
        <v/>
      </c>
      <c r="D19" s="9">
        <f>'P&amp;L'!D60</f>
        <v/>
      </c>
      <c r="E19" s="9">
        <f>'P&amp;L'!E60</f>
        <v/>
      </c>
      <c r="F19" s="9">
        <f>'P&amp;L'!F60</f>
        <v/>
      </c>
      <c r="G19" s="9">
        <f>'P&amp;L'!G60</f>
        <v/>
      </c>
      <c r="H19" s="9">
        <f>'P&amp;L'!H60</f>
        <v/>
      </c>
      <c r="I19" s="9">
        <f>'P&amp;L'!I60</f>
        <v/>
      </c>
      <c r="J19" s="9">
        <f>'P&amp;L'!J60</f>
        <v/>
      </c>
      <c r="K19" s="9">
        <f>'P&amp;L'!K60</f>
        <v/>
      </c>
      <c r="L19" s="9">
        <f>'P&amp;L'!L60</f>
        <v/>
      </c>
      <c r="M19" s="9">
        <f>'P&amp;L'!M60</f>
        <v/>
      </c>
      <c r="N19" s="9">
        <f>'P&amp;L'!N60</f>
        <v/>
      </c>
      <c r="O19" s="9">
        <f>'P&amp;L'!O60</f>
        <v/>
      </c>
      <c r="P19" s="9">
        <f>'P&amp;L'!P60</f>
        <v/>
      </c>
      <c r="Q19" s="9">
        <f>'P&amp;L'!Q60</f>
        <v/>
      </c>
      <c r="R19" s="9">
        <f>'P&amp;L'!R60</f>
        <v/>
      </c>
      <c r="S19" s="9">
        <f>'P&amp;L'!S60</f>
        <v/>
      </c>
      <c r="T19" s="9">
        <f>'P&amp;L'!T60</f>
        <v/>
      </c>
    </row>
    <row r="20">
      <c r="A20" s="19" t="inlineStr">
        <is>
          <t xml:space="preserve">          Salários (Wages)</t>
        </is>
      </c>
      <c r="B20" s="3" t="inlineStr">
        <is>
          <t>BRL</t>
        </is>
      </c>
      <c r="C20" s="9">
        <f>'P&amp;L'!C68</f>
        <v/>
      </c>
      <c r="D20" s="9">
        <f>'P&amp;L'!D68</f>
        <v/>
      </c>
      <c r="E20" s="9">
        <f>'P&amp;L'!E68</f>
        <v/>
      </c>
      <c r="F20" s="9">
        <f>'P&amp;L'!F68</f>
        <v/>
      </c>
      <c r="G20" s="9">
        <f>'P&amp;L'!G68</f>
        <v/>
      </c>
      <c r="H20" s="9">
        <f>'P&amp;L'!H68</f>
        <v/>
      </c>
      <c r="I20" s="9">
        <f>'P&amp;L'!I68</f>
        <v/>
      </c>
      <c r="J20" s="9">
        <f>'P&amp;L'!J68</f>
        <v/>
      </c>
      <c r="K20" s="9">
        <f>'P&amp;L'!K68</f>
        <v/>
      </c>
      <c r="L20" s="9">
        <f>'P&amp;L'!L68</f>
        <v/>
      </c>
      <c r="M20" s="9">
        <f>'P&amp;L'!M68</f>
        <v/>
      </c>
      <c r="N20" s="9">
        <f>'P&amp;L'!N68</f>
        <v/>
      </c>
      <c r="O20" s="9">
        <f>'P&amp;L'!O68</f>
        <v/>
      </c>
      <c r="P20" s="9">
        <f>'P&amp;L'!P68</f>
        <v/>
      </c>
      <c r="Q20" s="9">
        <f>'P&amp;L'!Q68</f>
        <v/>
      </c>
      <c r="R20" s="9">
        <f>'P&amp;L'!R68</f>
        <v/>
      </c>
      <c r="S20" s="9">
        <f>'P&amp;L'!S68</f>
        <v/>
      </c>
      <c r="T20" s="9">
        <f>'P&amp;L'!T68</f>
        <v/>
      </c>
    </row>
    <row r="21">
      <c r="A21" s="19" t="inlineStr">
        <is>
          <t xml:space="preserve">          Tech Support &amp; Services</t>
        </is>
      </c>
      <c r="B21" s="3" t="inlineStr">
        <is>
          <t>BRL</t>
        </is>
      </c>
      <c r="C21" s="9">
        <f>'P&amp;L'!C69</f>
        <v/>
      </c>
      <c r="D21" s="9">
        <f>'P&amp;L'!D69</f>
        <v/>
      </c>
      <c r="E21" s="9">
        <f>'P&amp;L'!E69</f>
        <v/>
      </c>
      <c r="F21" s="9">
        <f>'P&amp;L'!F69</f>
        <v/>
      </c>
      <c r="G21" s="9">
        <f>'P&amp;L'!G69</f>
        <v/>
      </c>
      <c r="H21" s="9">
        <f>'P&amp;L'!H69</f>
        <v/>
      </c>
      <c r="I21" s="9">
        <f>'P&amp;L'!I69</f>
        <v/>
      </c>
      <c r="J21" s="9">
        <f>'P&amp;L'!J69</f>
        <v/>
      </c>
      <c r="K21" s="9">
        <f>'P&amp;L'!K69</f>
        <v/>
      </c>
      <c r="L21" s="9">
        <f>'P&amp;L'!L69</f>
        <v/>
      </c>
      <c r="M21" s="9">
        <f>'P&amp;L'!M69</f>
        <v/>
      </c>
      <c r="N21" s="9">
        <f>'P&amp;L'!N69</f>
        <v/>
      </c>
      <c r="O21" s="9">
        <f>'P&amp;L'!O69</f>
        <v/>
      </c>
      <c r="P21" s="9">
        <f>'P&amp;L'!P69</f>
        <v/>
      </c>
      <c r="Q21" s="9">
        <f>'P&amp;L'!Q69</f>
        <v/>
      </c>
      <c r="R21" s="9">
        <f>'P&amp;L'!R69</f>
        <v/>
      </c>
      <c r="S21" s="9">
        <f>'P&amp;L'!S69</f>
        <v/>
      </c>
      <c r="T21" s="9">
        <f>'P&amp;L'!T69</f>
        <v/>
      </c>
    </row>
    <row r="22">
      <c r="A22" t="inlineStr"/>
      <c r="B22" t="inlineStr"/>
    </row>
    <row r="23">
      <c r="A23" s="10" t="inlineStr">
        <is>
          <t>(=) EBITDA</t>
        </is>
      </c>
      <c r="B23" s="3" t="inlineStr">
        <is>
          <t>BRL</t>
        </is>
      </c>
      <c r="C23" s="9">
        <f>'P&amp;L'!C74</f>
        <v/>
      </c>
      <c r="D23" s="9">
        <f>'P&amp;L'!D74</f>
        <v/>
      </c>
      <c r="E23" s="9">
        <f>'P&amp;L'!E74</f>
        <v/>
      </c>
      <c r="F23" s="9">
        <f>'P&amp;L'!F74</f>
        <v/>
      </c>
      <c r="G23" s="9">
        <f>'P&amp;L'!G74</f>
        <v/>
      </c>
      <c r="H23" s="9">
        <f>'P&amp;L'!H74</f>
        <v/>
      </c>
      <c r="I23" s="9">
        <f>'P&amp;L'!I74</f>
        <v/>
      </c>
      <c r="J23" s="9">
        <f>'P&amp;L'!J74</f>
        <v/>
      </c>
      <c r="K23" s="9">
        <f>'P&amp;L'!K74</f>
        <v/>
      </c>
      <c r="L23" s="9">
        <f>'P&amp;L'!L74</f>
        <v/>
      </c>
      <c r="M23" s="9">
        <f>'P&amp;L'!M74</f>
        <v/>
      </c>
      <c r="N23" s="9">
        <f>'P&amp;L'!N74</f>
        <v/>
      </c>
      <c r="O23" s="9">
        <f>'P&amp;L'!O74</f>
        <v/>
      </c>
      <c r="P23" s="9">
        <f>'P&amp;L'!P74</f>
        <v/>
      </c>
      <c r="Q23" s="9">
        <f>'P&amp;L'!Q74</f>
        <v/>
      </c>
      <c r="R23" s="9">
        <f>'P&amp;L'!R74</f>
        <v/>
      </c>
      <c r="S23" s="9">
        <f>'P&amp;L'!S74</f>
        <v/>
      </c>
      <c r="T23" s="9">
        <f>'P&amp;L'!T74</f>
        <v/>
      </c>
    </row>
    <row r="24">
      <c r="A24" s="19" t="inlineStr">
        <is>
          <t xml:space="preserve">     Margem EBITDA (%)</t>
        </is>
      </c>
      <c r="B24" s="3" t="inlineStr">
        <is>
          <t>%</t>
        </is>
      </c>
      <c r="C24" s="12">
        <f>'P&amp;L'!C76</f>
        <v/>
      </c>
      <c r="D24" s="12">
        <f>'P&amp;L'!D76</f>
        <v/>
      </c>
      <c r="E24" s="12">
        <f>'P&amp;L'!E76</f>
        <v/>
      </c>
      <c r="F24" s="12">
        <f>'P&amp;L'!F76</f>
        <v/>
      </c>
      <c r="G24" s="12">
        <f>'P&amp;L'!G76</f>
        <v/>
      </c>
      <c r="H24" s="12">
        <f>'P&amp;L'!H76</f>
        <v/>
      </c>
      <c r="I24" s="12">
        <f>'P&amp;L'!I76</f>
        <v/>
      </c>
      <c r="J24" s="12">
        <f>'P&amp;L'!J76</f>
        <v/>
      </c>
      <c r="K24" s="12">
        <f>'P&amp;L'!K76</f>
        <v/>
      </c>
      <c r="L24" s="12">
        <f>'P&amp;L'!L76</f>
        <v/>
      </c>
      <c r="M24" s="12">
        <f>'P&amp;L'!M76</f>
        <v/>
      </c>
      <c r="N24" s="12">
        <f>'P&amp;L'!N76</f>
        <v/>
      </c>
      <c r="O24" s="12">
        <f>'P&amp;L'!O76</f>
        <v/>
      </c>
      <c r="P24" s="12">
        <f>'P&amp;L'!P76</f>
        <v/>
      </c>
      <c r="Q24" s="12">
        <f>'P&amp;L'!Q76</f>
        <v/>
      </c>
      <c r="R24" s="12">
        <f>'P&amp;L'!R76</f>
        <v/>
      </c>
      <c r="S24" s="12">
        <f>'P&amp;L'!S76</f>
        <v/>
      </c>
      <c r="T24" s="12">
        <f>'P&amp;L'!T76</f>
        <v/>
      </c>
    </row>
    <row r="25">
      <c r="A25" t="inlineStr"/>
      <c r="B25" t="inlineStr"/>
    </row>
    <row r="26">
      <c r="A26" s="10" t="inlineStr">
        <is>
          <t>(=) RESULTADO OPERACIONAL (EBIT)</t>
        </is>
      </c>
      <c r="B26" s="3" t="inlineStr">
        <is>
          <t>BRL</t>
        </is>
      </c>
      <c r="C26" s="9">
        <f>'P&amp;L'!C75</f>
        <v/>
      </c>
      <c r="D26" s="9">
        <f>'P&amp;L'!D75</f>
        <v/>
      </c>
      <c r="E26" s="9">
        <f>'P&amp;L'!E75</f>
        <v/>
      </c>
      <c r="F26" s="9">
        <f>'P&amp;L'!F75</f>
        <v/>
      </c>
      <c r="G26" s="9">
        <f>'P&amp;L'!G75</f>
        <v/>
      </c>
      <c r="H26" s="9">
        <f>'P&amp;L'!H75</f>
        <v/>
      </c>
      <c r="I26" s="9">
        <f>'P&amp;L'!I75</f>
        <v/>
      </c>
      <c r="J26" s="9">
        <f>'P&amp;L'!J75</f>
        <v/>
      </c>
      <c r="K26" s="9">
        <f>'P&amp;L'!K75</f>
        <v/>
      </c>
      <c r="L26" s="9">
        <f>'P&amp;L'!L75</f>
        <v/>
      </c>
      <c r="M26" s="9">
        <f>'P&amp;L'!M75</f>
        <v/>
      </c>
      <c r="N26" s="9">
        <f>'P&amp;L'!N75</f>
        <v/>
      </c>
      <c r="O26" s="9">
        <f>'P&amp;L'!O75</f>
        <v/>
      </c>
      <c r="P26" s="9">
        <f>'P&amp;L'!P75</f>
        <v/>
      </c>
      <c r="Q26" s="9">
        <f>'P&amp;L'!Q75</f>
        <v/>
      </c>
      <c r="R26" s="9">
        <f>'P&amp;L'!R75</f>
        <v/>
      </c>
      <c r="S26" s="9">
        <f>'P&amp;L'!S75</f>
        <v/>
      </c>
      <c r="T26" s="9">
        <f>'P&amp;L'!T75</f>
        <v/>
      </c>
    </row>
    <row r="27">
      <c r="A27" t="inlineStr"/>
      <c r="B27" t="inlineStr"/>
    </row>
    <row r="28">
      <c r="A28" s="14" t="inlineStr">
        <is>
          <t>INDICADORES-CHAVE</t>
        </is>
      </c>
      <c r="B28" s="3" t="inlineStr"/>
    </row>
    <row r="29">
      <c r="A29" s="21" t="inlineStr">
        <is>
          <t>NAU (Net Active Users)</t>
        </is>
      </c>
      <c r="B29" s="3" t="inlineStr">
        <is>
          <t>%</t>
        </is>
      </c>
      <c r="C29" s="12">
        <f>'P&amp;L'!C5</f>
        <v/>
      </c>
      <c r="D29" s="12">
        <f>'P&amp;L'!D5</f>
        <v/>
      </c>
      <c r="E29" s="12">
        <f>'P&amp;L'!E5</f>
        <v/>
      </c>
      <c r="F29" s="12">
        <f>'P&amp;L'!F5</f>
        <v/>
      </c>
      <c r="G29" s="12">
        <f>'P&amp;L'!G5</f>
        <v/>
      </c>
      <c r="H29" s="12">
        <f>'P&amp;L'!H5</f>
        <v/>
      </c>
      <c r="I29" s="12">
        <f>'P&amp;L'!I5</f>
        <v/>
      </c>
      <c r="J29" s="12">
        <f>'P&amp;L'!J5</f>
        <v/>
      </c>
      <c r="K29" s="12">
        <f>'P&amp;L'!K5</f>
        <v/>
      </c>
      <c r="L29" s="12">
        <f>'P&amp;L'!L5</f>
        <v/>
      </c>
      <c r="M29" s="12">
        <f>'P&amp;L'!M5</f>
        <v/>
      </c>
      <c r="N29" s="12">
        <f>'P&amp;L'!N5</f>
        <v/>
      </c>
      <c r="O29" s="12">
        <f>'P&amp;L'!O5</f>
        <v/>
      </c>
      <c r="P29" s="12">
        <f>'P&amp;L'!P5</f>
        <v/>
      </c>
      <c r="Q29" s="12">
        <f>'P&amp;L'!Q5</f>
        <v/>
      </c>
      <c r="R29" s="12">
        <f>'P&amp;L'!R5</f>
        <v/>
      </c>
      <c r="S29" s="12">
        <f>'P&amp;L'!S5</f>
        <v/>
      </c>
      <c r="T29" s="12">
        <f>'P&amp;L'!T5</f>
        <v/>
      </c>
    </row>
    <row r="30">
      <c r="A30" s="21" t="inlineStr">
        <is>
          <t>CPA (Cost Per Acquisition)</t>
        </is>
      </c>
      <c r="B30" s="3" t="inlineStr">
        <is>
          <t>%</t>
        </is>
      </c>
      <c r="C30" s="12">
        <f>'P&amp;L'!C16</f>
        <v/>
      </c>
      <c r="D30" s="12">
        <f>'P&amp;L'!D16</f>
        <v/>
      </c>
      <c r="E30" s="12">
        <f>'P&amp;L'!E16</f>
        <v/>
      </c>
      <c r="F30" s="12">
        <f>'P&amp;L'!F16</f>
        <v/>
      </c>
      <c r="G30" s="12">
        <f>'P&amp;L'!G16</f>
        <v/>
      </c>
      <c r="H30" s="12">
        <f>'P&amp;L'!H16</f>
        <v/>
      </c>
      <c r="I30" s="12">
        <f>'P&amp;L'!I16</f>
        <v/>
      </c>
      <c r="J30" s="12">
        <f>'P&amp;L'!J16</f>
        <v/>
      </c>
      <c r="K30" s="12">
        <f>'P&amp;L'!K16</f>
        <v/>
      </c>
      <c r="L30" s="12">
        <f>'P&amp;L'!L16</f>
        <v/>
      </c>
      <c r="M30" s="12">
        <f>'P&amp;L'!M16</f>
        <v/>
      </c>
      <c r="N30" s="12">
        <f>'P&amp;L'!N16</f>
        <v/>
      </c>
      <c r="O30" s="12">
        <f>'P&amp;L'!O16</f>
        <v/>
      </c>
      <c r="P30" s="12">
        <f>'P&amp;L'!P16</f>
        <v/>
      </c>
      <c r="Q30" s="12">
        <f>'P&amp;L'!Q16</f>
        <v/>
      </c>
      <c r="R30" s="12">
        <f>'P&amp;L'!R16</f>
        <v/>
      </c>
      <c r="S30" s="12">
        <f>'P&amp;L'!S16</f>
        <v/>
      </c>
      <c r="T30" s="12">
        <f>'P&amp;L'!T16</f>
        <v/>
      </c>
    </row>
    <row r="31">
      <c r="A31" s="21" t="inlineStr">
        <is>
          <t>Marketing / Revenue no Tax (%)</t>
        </is>
      </c>
      <c r="B31" s="3" t="inlineStr">
        <is>
          <t>%</t>
        </is>
      </c>
      <c r="C31" s="12">
        <f>'P&amp;L'!C61</f>
        <v/>
      </c>
      <c r="D31" s="12">
        <f>'P&amp;L'!D61</f>
        <v/>
      </c>
      <c r="E31" s="12">
        <f>'P&amp;L'!E61</f>
        <v/>
      </c>
      <c r="F31" s="12">
        <f>'P&amp;L'!F61</f>
        <v/>
      </c>
      <c r="G31" s="12">
        <f>'P&amp;L'!G61</f>
        <v/>
      </c>
      <c r="H31" s="12">
        <f>'P&amp;L'!H61</f>
        <v/>
      </c>
      <c r="I31" s="12">
        <f>'P&amp;L'!I61</f>
        <v/>
      </c>
      <c r="J31" s="12">
        <f>'P&amp;L'!J61</f>
        <v/>
      </c>
      <c r="K31" s="12">
        <f>'P&amp;L'!K61</f>
        <v/>
      </c>
      <c r="L31" s="12">
        <f>'P&amp;L'!L61</f>
        <v/>
      </c>
      <c r="M31" s="12">
        <f>'P&amp;L'!M61</f>
        <v/>
      </c>
      <c r="N31" s="12">
        <f>'P&amp;L'!N61</f>
        <v/>
      </c>
      <c r="O31" s="12">
        <f>'P&amp;L'!O61</f>
        <v/>
      </c>
      <c r="P31" s="12">
        <f>'P&amp;L'!P61</f>
        <v/>
      </c>
      <c r="Q31" s="12">
        <f>'P&amp;L'!Q61</f>
        <v/>
      </c>
      <c r="R31" s="12">
        <f>'P&amp;L'!R61</f>
        <v/>
      </c>
      <c r="S31" s="12">
        <f>'P&amp;L'!S61</f>
        <v/>
      </c>
      <c r="T31" s="12">
        <f>'P&amp;L'!T61</f>
        <v/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DASHBOARD - INDICADORES E ANÁLISES</t>
        </is>
      </c>
    </row>
    <row r="3">
      <c r="A3" s="22" t="inlineStr">
        <is>
          <t>KPIS PRINCIPAIS (Último Mês Disponível)</t>
        </is>
      </c>
    </row>
    <row r="5">
      <c r="A5" s="23" t="inlineStr">
        <is>
          <t>Receita Total</t>
        </is>
      </c>
      <c r="B5" s="24">
        <f>'P&amp;L'!T24</f>
        <v/>
      </c>
    </row>
    <row r="6">
      <c r="A6" s="23" t="inlineStr">
        <is>
          <t>EBITDA</t>
        </is>
      </c>
      <c r="B6" s="24">
        <f>'P&amp;L'!T74</f>
        <v/>
      </c>
    </row>
    <row r="7">
      <c r="A7" s="23" t="inlineStr">
        <is>
          <t>Margem EBITDA</t>
        </is>
      </c>
      <c r="B7" s="25">
        <f>'P&amp;L'!T76</f>
        <v/>
      </c>
    </row>
    <row r="8">
      <c r="A8" s="23" t="inlineStr">
        <is>
          <t>Gross Margin</t>
        </is>
      </c>
      <c r="B8" s="25">
        <f>'P&amp;L'!T55</f>
        <v/>
      </c>
    </row>
    <row r="9">
      <c r="A9" s="23" t="inlineStr">
        <is>
          <t>NAU</t>
        </is>
      </c>
      <c r="B9" s="26">
        <f>'P&amp;L'!T5</f>
        <v/>
      </c>
    </row>
    <row r="10">
      <c r="A10" s="23" t="inlineStr">
        <is>
          <t>CPA</t>
        </is>
      </c>
      <c r="B10" s="24">
        <f>'P&amp;L'!T16</f>
        <v/>
      </c>
    </row>
    <row r="13">
      <c r="A13" s="22" t="inlineStr">
        <is>
          <t>RESUMO MENSAL (Últimos 6 Meses)</t>
        </is>
      </c>
    </row>
    <row r="15">
      <c r="A15" s="27" t="inlineStr">
        <is>
          <t>Mês</t>
        </is>
      </c>
      <c r="B15" s="27" t="inlineStr">
        <is>
          <t>Receita</t>
        </is>
      </c>
      <c r="C15" s="27" t="inlineStr">
        <is>
          <t>COGS</t>
        </is>
      </c>
      <c r="D15" s="27" t="inlineStr">
        <is>
          <t>Gross Profit</t>
        </is>
      </c>
      <c r="E15" s="27" t="inlineStr">
        <is>
          <t>OpEx</t>
        </is>
      </c>
      <c r="F15" s="27" t="inlineStr">
        <is>
          <t>EBITDA</t>
        </is>
      </c>
      <c r="G15" s="27" t="inlineStr">
        <is>
          <t>Margem EBITDA</t>
        </is>
      </c>
    </row>
    <row r="16">
      <c r="A16">
        <f>'P&amp;L'!O3</f>
        <v/>
      </c>
      <c r="B16" s="16">
        <f>'P&amp;L'!O24</f>
        <v/>
      </c>
      <c r="C16" s="16">
        <f>'P&amp;L'!O44</f>
        <v/>
      </c>
      <c r="D16" s="16">
        <f>'P&amp;L'!O54</f>
        <v/>
      </c>
      <c r="E16" s="16">
        <f>'P&amp;L'!O57</f>
        <v/>
      </c>
      <c r="F16" s="16">
        <f>'P&amp;L'!O74</f>
        <v/>
      </c>
      <c r="G16" s="17">
        <f>'P&amp;L'!O76</f>
        <v/>
      </c>
    </row>
    <row r="17">
      <c r="A17">
        <f>'P&amp;L'!P3</f>
        <v/>
      </c>
      <c r="B17" s="16">
        <f>'P&amp;L'!P24</f>
        <v/>
      </c>
      <c r="C17" s="16">
        <f>'P&amp;L'!P44</f>
        <v/>
      </c>
      <c r="D17" s="16">
        <f>'P&amp;L'!P54</f>
        <v/>
      </c>
      <c r="E17" s="16">
        <f>'P&amp;L'!P57</f>
        <v/>
      </c>
      <c r="F17" s="16">
        <f>'P&amp;L'!P74</f>
        <v/>
      </c>
      <c r="G17" s="17">
        <f>'P&amp;L'!P76</f>
        <v/>
      </c>
    </row>
    <row r="18">
      <c r="A18">
        <f>'P&amp;L'!Q3</f>
        <v/>
      </c>
      <c r="B18" s="16">
        <f>'P&amp;L'!Q24</f>
        <v/>
      </c>
      <c r="C18" s="16">
        <f>'P&amp;L'!Q44</f>
        <v/>
      </c>
      <c r="D18" s="16">
        <f>'P&amp;L'!Q54</f>
        <v/>
      </c>
      <c r="E18" s="16">
        <f>'P&amp;L'!Q57</f>
        <v/>
      </c>
      <c r="F18" s="16">
        <f>'P&amp;L'!Q74</f>
        <v/>
      </c>
      <c r="G18" s="17">
        <f>'P&amp;L'!Q76</f>
        <v/>
      </c>
    </row>
    <row r="19">
      <c r="A19">
        <f>'P&amp;L'!R3</f>
        <v/>
      </c>
      <c r="B19" s="16">
        <f>'P&amp;L'!R24</f>
        <v/>
      </c>
      <c r="C19" s="16">
        <f>'P&amp;L'!R44</f>
        <v/>
      </c>
      <c r="D19" s="16">
        <f>'P&amp;L'!R54</f>
        <v/>
      </c>
      <c r="E19" s="16">
        <f>'P&amp;L'!R57</f>
        <v/>
      </c>
      <c r="F19" s="16">
        <f>'P&amp;L'!R74</f>
        <v/>
      </c>
      <c r="G19" s="17">
        <f>'P&amp;L'!R76</f>
        <v/>
      </c>
    </row>
    <row r="20">
      <c r="A20">
        <f>'P&amp;L'!S3</f>
        <v/>
      </c>
      <c r="B20" s="16">
        <f>'P&amp;L'!S24</f>
        <v/>
      </c>
      <c r="C20" s="16">
        <f>'P&amp;L'!S44</f>
        <v/>
      </c>
      <c r="D20" s="16">
        <f>'P&amp;L'!S54</f>
        <v/>
      </c>
      <c r="E20" s="16">
        <f>'P&amp;L'!S57</f>
        <v/>
      </c>
      <c r="F20" s="16">
        <f>'P&amp;L'!S74</f>
        <v/>
      </c>
      <c r="G20" s="17">
        <f>'P&amp;L'!S76</f>
        <v/>
      </c>
    </row>
    <row r="21">
      <c r="A21">
        <f>'P&amp;L'!T3</f>
        <v/>
      </c>
      <c r="B21" s="16">
        <f>'P&amp;L'!T24</f>
        <v/>
      </c>
      <c r="C21" s="16">
        <f>'P&amp;L'!T44</f>
        <v/>
      </c>
      <c r="D21" s="16">
        <f>'P&amp;L'!T54</f>
        <v/>
      </c>
      <c r="E21" s="16">
        <f>'P&amp;L'!T57</f>
        <v/>
      </c>
      <c r="F21" s="16">
        <f>'P&amp;L'!T74</f>
        <v/>
      </c>
      <c r="G21" s="17">
        <f>'P&amp;L'!T76</f>
        <v/>
      </c>
    </row>
    <row r="24">
      <c r="A24" s="22" t="inlineStr">
        <is>
          <t>ANÁLISE DE CUSTOS (Último Mês)</t>
        </is>
      </c>
    </row>
    <row r="26">
      <c r="A26" t="inlineStr">
        <is>
          <t>Payment Processing</t>
        </is>
      </c>
      <c r="B26" s="16">
        <f>'P&amp;L'!T45</f>
        <v/>
      </c>
      <c r="C26" s="17">
        <f>='P&amp;L'!T45/('P&amp;L'!T24)</f>
        <v/>
      </c>
      <c r="D26" t="inlineStr">
        <is>
          <t>% da Receita</t>
        </is>
      </c>
    </row>
    <row r="27">
      <c r="A27" t="inlineStr">
        <is>
          <t>COGS Total</t>
        </is>
      </c>
      <c r="B27" s="16">
        <f>'P&amp;L'!T46</f>
        <v/>
      </c>
      <c r="C27" s="17">
        <f>='P&amp;L'!T46/('P&amp;L'!T24)</f>
        <v/>
      </c>
      <c r="D27" t="inlineStr">
        <is>
          <t>% da Receita</t>
        </is>
      </c>
    </row>
    <row r="28">
      <c r="A28" t="inlineStr">
        <is>
          <t>Marketing</t>
        </is>
      </c>
      <c r="B28" s="16">
        <f>'P&amp;L'!T60</f>
        <v/>
      </c>
      <c r="C28" s="17">
        <f>='P&amp;L'!T60/('P&amp;L'!T24)</f>
        <v/>
      </c>
      <c r="D28" t="inlineStr">
        <is>
          <t>% da Receita</t>
        </is>
      </c>
    </row>
    <row r="29">
      <c r="A29" t="inlineStr">
        <is>
          <t>Wages</t>
        </is>
      </c>
      <c r="B29" s="16">
        <f>'P&amp;L'!T68</f>
        <v/>
      </c>
      <c r="C29" s="17">
        <f>='P&amp;L'!T68/('P&amp;L'!T24)</f>
        <v/>
      </c>
      <c r="D29" t="inlineStr">
        <is>
          <t>% da Receita</t>
        </is>
      </c>
    </row>
    <row r="30">
      <c r="A30" t="inlineStr">
        <is>
          <t>Tech Support</t>
        </is>
      </c>
      <c r="B30" s="16">
        <f>'P&amp;L'!T69</f>
        <v/>
      </c>
      <c r="C30" s="17">
        <f>='P&amp;L'!T69/('P&amp;L'!T24)</f>
        <v/>
      </c>
      <c r="D30" t="inlineStr">
        <is>
          <t>% da Receita</t>
        </is>
      </c>
    </row>
  </sheetData>
  <mergeCells count="4">
    <mergeCell ref="A13:H13"/>
    <mergeCell ref="A3:D3"/>
    <mergeCell ref="A24:D2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0" customWidth="1" min="3" max="3"/>
  </cols>
  <sheetData>
    <row r="1">
      <c r="A1" s="1" t="inlineStr">
        <is>
          <t>GLOSSÁRIO DE TERMOS E SIGLAS</t>
        </is>
      </c>
    </row>
    <row r="3">
      <c r="A3" s="27" t="inlineStr">
        <is>
          <t>Termo/Sigla</t>
        </is>
      </c>
      <c r="B3" s="27" t="inlineStr">
        <is>
          <t>Nome Completo</t>
        </is>
      </c>
      <c r="C3" s="27" t="inlineStr">
        <is>
          <t>Definição</t>
        </is>
      </c>
    </row>
    <row r="4">
      <c r="A4" s="28" t="inlineStr">
        <is>
          <t>NAU</t>
        </is>
      </c>
      <c r="B4" s="3" t="inlineStr">
        <is>
          <t>Net Active Users</t>
        </is>
      </c>
      <c r="C4" s="3" t="inlineStr">
        <is>
          <t>Número de usuários ativos líquidos no período</t>
        </is>
      </c>
    </row>
    <row r="5">
      <c r="A5" s="28" t="inlineStr">
        <is>
          <t>MAU</t>
        </is>
      </c>
      <c r="B5" s="3" t="inlineStr">
        <is>
          <t>Monthly Active Users</t>
        </is>
      </c>
      <c r="C5" s="3" t="inlineStr">
        <is>
          <t>Número de usuários ativos mensais</t>
        </is>
      </c>
    </row>
    <row r="6">
      <c r="A6" s="28" t="inlineStr">
        <is>
          <t>CPA</t>
        </is>
      </c>
      <c r="B6" s="3" t="inlineStr">
        <is>
          <t>Cost Per Acquisition</t>
        </is>
      </c>
      <c r="C6" s="3" t="inlineStr">
        <is>
          <t>Custo de aquisição por usuário (Marketing / NAU)</t>
        </is>
      </c>
    </row>
    <row r="7">
      <c r="A7" s="28" t="inlineStr">
        <is>
          <t>ARPU</t>
        </is>
      </c>
      <c r="B7" s="3" t="inlineStr">
        <is>
          <t>Average Revenue Per User</t>
        </is>
      </c>
      <c r="C7" s="3" t="inlineStr">
        <is>
          <t>Receita média por usuário</t>
        </is>
      </c>
    </row>
    <row r="8">
      <c r="A8" s="28" t="inlineStr">
        <is>
          <t>ARPPU</t>
        </is>
      </c>
      <c r="B8" s="3" t="inlineStr">
        <is>
          <t>Average Revenue Per Paying User</t>
        </is>
      </c>
      <c r="C8" s="3" t="inlineStr">
        <is>
          <t>Receita média por usuário pagante</t>
        </is>
      </c>
    </row>
    <row r="9">
      <c r="A9" s="28" t="inlineStr">
        <is>
          <t>COGS</t>
        </is>
      </c>
      <c r="B9" s="3" t="inlineStr">
        <is>
          <t>Cost of Goods Sold</t>
        </is>
      </c>
      <c r="C9" s="3" t="inlineStr">
        <is>
          <t>Custo dos Produtos Vendidos (CMV) - custos diretos de infraestrutura</t>
        </is>
      </c>
    </row>
    <row r="10">
      <c r="A10" s="28" t="inlineStr">
        <is>
          <t>SG&amp;A</t>
        </is>
      </c>
      <c r="B10" s="3" t="inlineStr">
        <is>
          <t>Selling, General &amp; Administrative</t>
        </is>
      </c>
      <c r="C10" s="3" t="inlineStr">
        <is>
          <t>Despesas de Vendas, Gerais e Administrativas</t>
        </is>
      </c>
    </row>
    <row r="11">
      <c r="A11" s="28" t="inlineStr">
        <is>
          <t>EBITDA</t>
        </is>
      </c>
      <c r="B11" s="3" t="inlineStr">
        <is>
          <t>Earnings Before Interest, Taxes, Depreciation and Amortization</t>
        </is>
      </c>
      <c r="C11" s="3" t="inlineStr">
        <is>
          <t>Lucro antes de Juros, Impostos, Depreciação e Amortização</t>
        </is>
      </c>
    </row>
    <row r="12">
      <c r="A12" s="28" t="inlineStr">
        <is>
          <t>EBIT</t>
        </is>
      </c>
      <c r="B12" s="3" t="inlineStr">
        <is>
          <t>Earnings Before Interest and Taxes</t>
        </is>
      </c>
      <c r="C12" s="3" t="inlineStr">
        <is>
          <t>Lucro antes de Juros e Impostos (Resultado Operacional)</t>
        </is>
      </c>
    </row>
    <row r="13">
      <c r="A13" s="28" t="inlineStr">
        <is>
          <t>OpEx</t>
        </is>
      </c>
      <c r="B13" s="3" t="inlineStr">
        <is>
          <t>Operating Expenses</t>
        </is>
      </c>
      <c r="C13" s="3" t="inlineStr">
        <is>
          <t>Despesas Operacionais (R&amp;D + SG&amp;A)</t>
        </is>
      </c>
    </row>
    <row r="14">
      <c r="A14" s="28" t="inlineStr">
        <is>
          <t>R&amp;D</t>
        </is>
      </c>
      <c r="B14" s="3" t="inlineStr">
        <is>
          <t>Research &amp; Development</t>
        </is>
      </c>
      <c r="C14" s="3" t="inlineStr">
        <is>
          <t>Pesquisa e Desenvolvimento</t>
        </is>
      </c>
    </row>
    <row r="15">
      <c r="A15" s="28" t="inlineStr">
        <is>
          <t>EaM</t>
        </is>
      </c>
      <c r="B15" s="3" t="inlineStr">
        <is>
          <t>Earned Media</t>
        </is>
      </c>
      <c r="C15" s="3" t="inlineStr">
        <is>
          <t>Mídia conquistada (marketing orgânico e referências)</t>
        </is>
      </c>
    </row>
    <row r="16">
      <c r="A16" s="28" t="inlineStr">
        <is>
          <t>ASA</t>
        </is>
      </c>
      <c r="B16" s="3" t="inlineStr">
        <is>
          <t>Apple Search Ads</t>
        </is>
      </c>
      <c r="C16" s="3" t="inlineStr">
        <is>
          <t>Anúncios de busca da Apple</t>
        </is>
      </c>
    </row>
    <row r="17">
      <c r="A17" s="28" t="inlineStr">
        <is>
          <t>IOF</t>
        </is>
      </c>
      <c r="B17" s="3" t="inlineStr">
        <is>
          <t>Imposto sobre Operações Financeiras</t>
        </is>
      </c>
      <c r="C17" s="3" t="inlineStr">
        <is>
          <t>Imposto sobre operações de crédito, câmbio e seguros</t>
        </is>
      </c>
    </row>
    <row r="18">
      <c r="A18" s="28" t="inlineStr">
        <is>
          <t>DRE</t>
        </is>
      </c>
      <c r="B18" s="3" t="inlineStr">
        <is>
          <t>Demonstração do Resultado do Exercício</t>
        </is>
      </c>
      <c r="C18" s="3" t="inlineStr">
        <is>
          <t>Relatório contábil que apresenta o resultado operacional da empresa</t>
        </is>
      </c>
    </row>
    <row r="19">
      <c r="A19" s="28" t="inlineStr">
        <is>
          <t>P&amp;L</t>
        </is>
      </c>
      <c r="B19" s="3" t="inlineStr">
        <is>
          <t>Profit &amp; Loss</t>
        </is>
      </c>
      <c r="C19" s="3" t="inlineStr">
        <is>
          <t>Demonstrativo de Lucros e Perdas</t>
        </is>
      </c>
    </row>
    <row r="20">
      <c r="A20" s="28" t="inlineStr">
        <is>
          <t>AWS</t>
        </is>
      </c>
      <c r="B20" s="3" t="inlineStr">
        <is>
          <t>Amazon Web Services</t>
        </is>
      </c>
      <c r="C20" s="3" t="inlineStr">
        <is>
          <t>Serviços de computação em nuvem da Amazon</t>
        </is>
      </c>
    </row>
    <row r="21">
      <c r="A21" s="28" t="inlineStr">
        <is>
          <t>SES</t>
        </is>
      </c>
      <c r="B21" s="3" t="inlineStr">
        <is>
          <t>Simple Email Service</t>
        </is>
      </c>
      <c r="C21" s="3" t="inlineStr">
        <is>
          <t>Serviço de e-mail da AWS</t>
        </is>
      </c>
    </row>
    <row r="22">
      <c r="A22" s="28" t="inlineStr">
        <is>
          <t>IAPHUB</t>
        </is>
      </c>
      <c r="B22" s="3" t="inlineStr">
        <is>
          <t>In-App Purchase Hub</t>
        </is>
      </c>
      <c r="C22" s="3" t="inlineStr">
        <is>
          <t>Plataforma de gerenciamento de compras in-app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60" customWidth="1" min="4" max="4"/>
  </cols>
  <sheetData>
    <row r="1">
      <c r="A1" s="1" t="inlineStr">
        <is>
          <t>CHECKLIST DE IMPLANTAÇÃO E USO</t>
        </is>
      </c>
    </row>
    <row r="3">
      <c r="A3" s="27" t="inlineStr">
        <is>
          <t>Etapa</t>
        </is>
      </c>
      <c r="B3" s="27" t="inlineStr">
        <is>
          <t>Descrição</t>
        </is>
      </c>
      <c r="C3" s="27" t="inlineStr">
        <is>
          <t>Status</t>
        </is>
      </c>
      <c r="D3" s="27" t="inlineStr">
        <is>
          <t>Observações</t>
        </is>
      </c>
    </row>
    <row r="4">
      <c r="A4" s="28" t="inlineStr">
        <is>
          <t>1. Importação</t>
        </is>
      </c>
      <c r="B4" s="3" t="inlineStr">
        <is>
          <t>Importar extrato do Conta Azul (CSV)</t>
        </is>
      </c>
      <c r="C4" s="29" t="inlineStr">
        <is>
          <t>✓</t>
        </is>
      </c>
      <c r="D4" s="3" t="inlineStr">
        <is>
          <t>Dados já importados na aba Extrato_Importado</t>
        </is>
      </c>
    </row>
    <row r="5">
      <c r="A5" s="28" t="inlineStr">
        <is>
          <t>2. Mapeamento</t>
        </is>
      </c>
      <c r="B5" s="3" t="inlineStr">
        <is>
          <t>Revisar e ajustar mapeamento de centros de custo</t>
        </is>
      </c>
      <c r="C5" s="29" t="inlineStr">
        <is>
          <t>⚠</t>
        </is>
      </c>
      <c r="D5" s="3" t="inlineStr">
        <is>
          <t>Verificar aba Mapeamento e adicionar novos fornecedores se necessário</t>
        </is>
      </c>
    </row>
    <row r="6">
      <c r="A6" s="28" t="inlineStr">
        <is>
          <t>3. Parâmetros</t>
        </is>
      </c>
      <c r="B6" s="3" t="inlineStr">
        <is>
          <t>Configurar parâmetros editáveis</t>
        </is>
      </c>
      <c r="C6" s="29" t="inlineStr">
        <is>
          <t>⚠</t>
        </is>
      </c>
      <c r="D6" s="3" t="inlineStr">
        <is>
          <t>Preencher campos amarelos na aba Inputs</t>
        </is>
      </c>
    </row>
    <row r="7">
      <c r="A7" s="28" t="inlineStr">
        <is>
          <t>4. Validação P&amp;L</t>
        </is>
      </c>
      <c r="B7" s="3" t="inlineStr">
        <is>
          <t>Validar cálculos automáticos do P&amp;L</t>
        </is>
      </c>
      <c r="C7" s="29" t="inlineStr">
        <is>
          <t>⚠</t>
        </is>
      </c>
      <c r="D7" s="3" t="inlineStr">
        <is>
          <t>Verificar se valores importados estão corretos</t>
        </is>
      </c>
    </row>
    <row r="8">
      <c r="A8" s="28" t="inlineStr">
        <is>
          <t>5. Validação DRE</t>
        </is>
      </c>
      <c r="B8" s="3" t="inlineStr">
        <is>
          <t>Validar DRE consolidado</t>
        </is>
      </c>
      <c r="C8" s="29" t="inlineStr">
        <is>
          <t>⚠</t>
        </is>
      </c>
      <c r="D8" s="3" t="inlineStr">
        <is>
          <t>Conferir totalizações e margens</t>
        </is>
      </c>
    </row>
    <row r="9">
      <c r="A9" s="28" t="inlineStr">
        <is>
          <t>6. Dashboard</t>
        </is>
      </c>
      <c r="B9" s="3" t="inlineStr">
        <is>
          <t>Analisar KPIs e indicadores</t>
        </is>
      </c>
      <c r="C9" s="29" t="inlineStr">
        <is>
          <t>⚠</t>
        </is>
      </c>
      <c r="D9" s="3" t="inlineStr">
        <is>
          <t>Revisar gráficos e métricas principais</t>
        </is>
      </c>
    </row>
    <row r="10">
      <c r="A10" s="28" t="inlineStr">
        <is>
          <t>7. Documentação</t>
        </is>
      </c>
      <c r="B10" s="3" t="inlineStr">
        <is>
          <t>Documentar premissas e ajustes</t>
        </is>
      </c>
      <c r="C10" s="29" t="inlineStr">
        <is>
          <t>⚠</t>
        </is>
      </c>
      <c r="D10" s="3" t="inlineStr">
        <is>
          <t>Registrar observações na aba Inputs</t>
        </is>
      </c>
    </row>
    <row r="11">
      <c r="A11" s="28" t="inlineStr">
        <is>
          <t>8. Backup</t>
        </is>
      </c>
      <c r="B11" s="3" t="inlineStr">
        <is>
          <t>Salvar cópia de segurança</t>
        </is>
      </c>
      <c r="C11" s="29" t="inlineStr">
        <is>
          <t>⚠</t>
        </is>
      </c>
      <c r="D11" s="3" t="inlineStr">
        <is>
          <t>Manter versões anteriores para auditoria</t>
        </is>
      </c>
    </row>
    <row r="14">
      <c r="A14" s="22" t="inlineStr">
        <is>
          <t>INSTRUÇÕES DE USO:</t>
        </is>
      </c>
    </row>
    <row r="15">
      <c r="A15" t="inlineStr">
        <is>
          <t>1. Exportar extrato do Conta Azul em formato CSV</t>
        </is>
      </c>
    </row>
    <row r="16">
      <c r="A16" t="inlineStr">
        <is>
          <t>2. Substituir dados na aba Extrato_Importado (copiar e colar)</t>
        </is>
      </c>
    </row>
    <row r="17">
      <c r="A17" t="inlineStr">
        <is>
          <t>3. Verificar se novos fornecedores/clientes precisam ser mapeados na aba Mapeamento</t>
        </is>
      </c>
    </row>
    <row r="18">
      <c r="A18" t="inlineStr">
        <is>
          <t>4. Preencher campos editáveis (amarelos) na aba Inputs conforme necessário</t>
        </is>
      </c>
    </row>
    <row r="19">
      <c r="A19" t="inlineStr">
        <is>
          <t>5. As fórmulas do P&amp;L e DRE são atualizadas automaticamente</t>
        </is>
      </c>
    </row>
    <row r="20">
      <c r="A20" t="inlineStr">
        <is>
          <t>6. Revisar Dashboard para análise de tendências e KPIs</t>
        </is>
      </c>
    </row>
    <row r="21">
      <c r="A21" t="inlineStr">
        <is>
          <t>7. Campos não importados podem ser preenchidos manualmente no P&amp;L</t>
        </is>
      </c>
    </row>
  </sheetData>
  <mergeCells count="9">
    <mergeCell ref="A1:D1"/>
    <mergeCell ref="A17:D17"/>
    <mergeCell ref="A18:D18"/>
    <mergeCell ref="A20:D20"/>
    <mergeCell ref="A21:D21"/>
    <mergeCell ref="A15:D15"/>
    <mergeCell ref="A16:D16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2025-11-19T03:02:45Z</dcterms:created>
  <dcterms:modified xmlns:dcterms="http://purl.org/dc/terms/" xmlns:xsi="http://www.w3.org/2001/XMLSchema-instance" xsi:type="dcterms:W3CDTF">2025-11-19T03:06:44Z</dcterms:modified>
</cp:coreProperties>
</file>